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etailplan" sheetId="2" state="visible" r:id="rId4"/>
    <sheet name="Offene Fragen" sheetId="3" state="visible" r:id="rId5"/>
    <sheet name="Architektur" sheetId="4" state="visible" r:id="rId6"/>
    <sheet name="Requirements" sheetId="5" state="visible" r:id="rId7"/>
    <sheet name="Risiken" sheetId="6" state="visible" r:id="rId8"/>
  </sheets>
  <definedNames>
    <definedName function="false" hidden="true" localSheetId="1" name="_xlnm._FilterDatabase" vbProcedure="false">Detailplan!$A$3:$S$53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<sst xmlns="http://schemas.openxmlformats.org/spreadsheetml/2006/main" count="1136" uniqueCount="506">
  <si>
    <t xml:space="preserve">AI-ARTIST AGENT — PROJEKTDASHBOARD</t>
  </si>
  <si>
    <t xml:space="preserve">Gesamtfortschritt</t>
  </si>
  <si>
    <t xml:space="preserve">Tasks Gesamt</t>
  </si>
  <si>
    <t xml:space="preserve">Tasks Erledigt</t>
  </si>
  <si>
    <t xml:space="preserve">Tasks In Arbeit</t>
  </si>
  <si>
    <t xml:space="preserve">Tasks Offen</t>
  </si>
  <si>
    <t xml:space="preserve">Kritische Risiken</t>
  </si>
  <si>
    <t xml:space="preserve">Überfällige Tasks</t>
  </si>
  <si>
    <t xml:space="preserve">FORTSCHRITT NACH PHASE</t>
  </si>
  <si>
    <t xml:space="preserve">Phase</t>
  </si>
  <si>
    <t xml:space="preserve">Beschreibung</t>
  </si>
  <si>
    <t xml:space="preserve">Tasks</t>
  </si>
  <si>
    <t xml:space="preserve">Erledigt</t>
  </si>
  <si>
    <t xml:space="preserve">Fortschritt %</t>
  </si>
  <si>
    <t xml:space="preserve">Status</t>
  </si>
  <si>
    <t xml:space="preserve">Verantwortlich</t>
  </si>
  <si>
    <t xml:space="preserve">Start</t>
  </si>
  <si>
    <t xml:space="preserve">Ende</t>
  </si>
  <si>
    <t xml:space="preserve">Risiko</t>
  </si>
  <si>
    <t xml:space="preserve">P1</t>
  </si>
  <si>
    <t xml:space="preserve">Foundation &amp; Infrastructure</t>
  </si>
  <si>
    <t xml:space="preserve">Offen</t>
  </si>
  <si>
    <t xml:space="preserve">DevOps Lead</t>
  </si>
  <si>
    <t xml:space="preserve">KW20</t>
  </si>
  <si>
    <t xml:space="preserve">KW23</t>
  </si>
  <si>
    <t xml:space="preserve">Mittel</t>
  </si>
  <si>
    <t xml:space="preserve">P2</t>
  </si>
  <si>
    <t xml:space="preserve">Main Agent (AI-Artist)</t>
  </si>
  <si>
    <t xml:space="preserve">AI Engineer</t>
  </si>
  <si>
    <t xml:space="preserve">KW22</t>
  </si>
  <si>
    <t xml:space="preserve">KW28</t>
  </si>
  <si>
    <t xml:space="preserve">Hoch</t>
  </si>
  <si>
    <t xml:space="preserve">P3</t>
  </si>
  <si>
    <t xml:space="preserve">Sub-Agents Development</t>
  </si>
  <si>
    <t xml:space="preserve">KW26</t>
  </si>
  <si>
    <t xml:space="preserve">KW32</t>
  </si>
  <si>
    <t xml:space="preserve">P4</t>
  </si>
  <si>
    <t xml:space="preserve">Integration &amp; Workflows</t>
  </si>
  <si>
    <t xml:space="preserve">Full-Stack Dev</t>
  </si>
  <si>
    <t xml:space="preserve">KW30</t>
  </si>
  <si>
    <t xml:space="preserve">KW35</t>
  </si>
  <si>
    <t xml:space="preserve">P5</t>
  </si>
  <si>
    <t xml:space="preserve">Knowledge Base &amp; Skills</t>
  </si>
  <si>
    <t xml:space="preserve">Domain Expert</t>
  </si>
  <si>
    <t xml:space="preserve">KW24</t>
  </si>
  <si>
    <t xml:space="preserve">KW34</t>
  </si>
  <si>
    <t xml:space="preserve">P6</t>
  </si>
  <si>
    <t xml:space="preserve">Testing &amp; QA</t>
  </si>
  <si>
    <t xml:space="preserve">QA Engineer</t>
  </si>
  <si>
    <t xml:space="preserve">KW33</t>
  </si>
  <si>
    <t xml:space="preserve">KW37</t>
  </si>
  <si>
    <t xml:space="preserve">Niedrig</t>
  </si>
  <si>
    <t xml:space="preserve">P7</t>
  </si>
  <si>
    <t xml:space="preserve">Deployment &amp; Monitoring</t>
  </si>
  <si>
    <t xml:space="preserve">KW36</t>
  </si>
  <si>
    <t xml:space="preserve">KW40</t>
  </si>
  <si>
    <t xml:space="preserve">Anzahl</t>
  </si>
  <si>
    <t xml:space="preserve">Priorität</t>
  </si>
  <si>
    <t xml:space="preserve">Kritisch</t>
  </si>
  <si>
    <t xml:space="preserve">In Arbeit</t>
  </si>
  <si>
    <t xml:space="preserve">Blockiert</t>
  </si>
  <si>
    <t xml:space="preserve">AI-ARTIST AGENT — DETAILLIERTER PROJEKTPLAN</t>
  </si>
  <si>
    <t xml:space="preserve">OpenClaw Multi-Agent System für KI-generierte Kunst</t>
  </si>
  <si>
    <t xml:space="preserve">ID</t>
  </si>
  <si>
    <t xml:space="preserve">Task</t>
  </si>
  <si>
    <t xml:space="preserve">Start (KW)</t>
  </si>
  <si>
    <t xml:space="preserve">Ende (KW)</t>
  </si>
  <si>
    <t xml:space="preserve">Dauer (Wochen)</t>
  </si>
  <si>
    <t xml:space="preserve">Abhängigkeit</t>
  </si>
  <si>
    <t xml:space="preserve">Risiko-Beschreibung</t>
  </si>
  <si>
    <t xml:space="preserve">Fertigstellung %</t>
  </si>
  <si>
    <t xml:space="preserve">T01</t>
  </si>
  <si>
    <t xml:space="preserve">OpenClaw Installation &amp; Konfiguration</t>
  </si>
  <si>
    <t xml:space="preserve">—</t>
  </si>
  <si>
    <t xml:space="preserve">Standardinstallation</t>
  </si>
  <si>
    <t xml:space="preserve">█████</t>
  </si>
  <si>
    <t xml:space="preserve">T02</t>
  </si>
  <si>
    <t xml:space="preserve">GPU-Server Setup (Cloud/Lokal)</t>
  </si>
  <si>
    <t xml:space="preserve">GPU-Verfügbarkeit, Kosten</t>
  </si>
  <si>
    <t xml:space="preserve">T03</t>
  </si>
  <si>
    <t xml:space="preserve">LLM Provider API Keys beschaffen</t>
  </si>
  <si>
    <t xml:space="preserve">Projektleiter</t>
  </si>
  <si>
    <t xml:space="preserve">API-Kosten, Rate Limits</t>
  </si>
  <si>
    <t xml:space="preserve">T04</t>
  </si>
  <si>
    <t xml:space="preserve">Slack Workspace einrichten</t>
  </si>
  <si>
    <t xml:space="preserve">T05</t>
  </si>
  <si>
    <t xml:space="preserve">ComfyUI Installation &amp; Konfiguration</t>
  </si>
  <si>
    <t xml:space="preserve">VRAM-Anforderungen</t>
  </si>
  <si>
    <t xml:space="preserve">T06</t>
  </si>
  <si>
    <t xml:space="preserve">Image-Gen Modelle laden (Flux 2, SDXL)</t>
  </si>
  <si>
    <t xml:space="preserve">Modellgröße, Storage</t>
  </si>
  <si>
    <t xml:space="preserve">T07</t>
  </si>
  <si>
    <t xml:space="preserve">MCP Server Setup (ComfyUI-OpenClaw)</t>
  </si>
  <si>
    <t xml:space="preserve">Kompatibilität</t>
  </si>
  <si>
    <t xml:space="preserve">T08</t>
  </si>
  <si>
    <t xml:space="preserve">Development Environment &amp; CI/CD</t>
  </si>
  <si>
    <t xml:space="preserve">T09</t>
  </si>
  <si>
    <t xml:space="preserve">SOUL.md: Künstler-Persona definieren</t>
  </si>
  <si>
    <t xml:space="preserve">Persona-Feintuning nötig</t>
  </si>
  <si>
    <t xml:space="preserve">T10</t>
  </si>
  <si>
    <t xml:space="preserve">AGENTS.md: Operationslogik konfigurieren</t>
  </si>
  <si>
    <t xml:space="preserve">Komplexe Routing-Logik</t>
  </si>
  <si>
    <t xml:space="preserve">T11</t>
  </si>
  <si>
    <t xml:space="preserve">Kunst-Wissensbasis aufbauen (Kunsthistorik)</t>
  </si>
  <si>
    <t xml:space="preserve">Umfang des Wissens</t>
  </si>
  <si>
    <t xml:space="preserve">T12</t>
  </si>
  <si>
    <t xml:space="preserve">Fotografie &amp; Bildkomposition Skills</t>
  </si>
  <si>
    <t xml:space="preserve">T13</t>
  </si>
  <si>
    <t xml:space="preserve">Prompt Engineering für Bildgenerierung</t>
  </si>
  <si>
    <t xml:space="preserve">Qualitätskontrolle</t>
  </si>
  <si>
    <t xml:space="preserve">T14</t>
  </si>
  <si>
    <t xml:space="preserve">Stil-Analyse &amp; Trend-Interpretation Skills</t>
  </si>
  <si>
    <t xml:space="preserve">Subjektivität</t>
  </si>
  <si>
    <t xml:space="preserve">T15</t>
  </si>
  <si>
    <t xml:space="preserve">Agent Memory &amp; Context Management</t>
  </si>
  <si>
    <t xml:space="preserve">Token-Limits</t>
  </si>
  <si>
    <t xml:space="preserve">T16</t>
  </si>
  <si>
    <t xml:space="preserve">Slack-Channel Integration Main Agent</t>
  </si>
  <si>
    <t xml:space="preserve">T04,T10</t>
  </si>
  <si>
    <t xml:space="preserve">T17</t>
  </si>
  <si>
    <t xml:space="preserve">Kreativ-Workflow: Idee → Prompt → Bild</t>
  </si>
  <si>
    <t xml:space="preserve">T13,T15</t>
  </si>
  <si>
    <t xml:space="preserve">End-to-End Qualität</t>
  </si>
  <si>
    <t xml:space="preserve">T18</t>
  </si>
  <si>
    <t xml:space="preserve">Kuratierung &amp; Qualitätsbewertung</t>
  </si>
  <si>
    <t xml:space="preserve">Automatische Bewertung</t>
  </si>
  <si>
    <t xml:space="preserve">T19</t>
  </si>
  <si>
    <t xml:space="preserve">Social Media Scout Agent: SOUL.md</t>
  </si>
  <si>
    <t xml:space="preserve">Persona-Design</t>
  </si>
  <si>
    <t xml:space="preserve">T20</t>
  </si>
  <si>
    <t xml:space="preserve">Instagram API Integration</t>
  </si>
  <si>
    <t xml:space="preserve">API-Zugang, Rate Limits</t>
  </si>
  <si>
    <t xml:space="preserve">T21</t>
  </si>
  <si>
    <t xml:space="preserve">Pinterest Trend-Monitoring</t>
  </si>
  <si>
    <t xml:space="preserve">API-Verfügbarkeit</t>
  </si>
  <si>
    <t xml:space="preserve">T22</t>
  </si>
  <si>
    <t xml:space="preserve">X/Twitter Trend-Analyse</t>
  </si>
  <si>
    <t xml:space="preserve">API-Kosten sehr hoch</t>
  </si>
  <si>
    <t xml:space="preserve">T23</t>
  </si>
  <si>
    <t xml:space="preserve">Kunst- &amp; Mode-Webseiten Scraping Skills</t>
  </si>
  <si>
    <t xml:space="preserve">Legal/ToS Compliance</t>
  </si>
  <si>
    <t xml:space="preserve">T24</t>
  </si>
  <si>
    <t xml:space="preserve">Image-Gen Sub-Agent: SOUL.md &amp; ComfyUI</t>
  </si>
  <si>
    <t xml:space="preserve">T07,T19</t>
  </si>
  <si>
    <t xml:space="preserve">Workflow-Stabilität</t>
  </si>
  <si>
    <t xml:space="preserve">T25</t>
  </si>
  <si>
    <t xml:space="preserve">Sub-Agent ↔ Main Agent Kommunikation</t>
  </si>
  <si>
    <t xml:space="preserve">T24,T19</t>
  </si>
  <si>
    <t xml:space="preserve">Message-Routing</t>
  </si>
  <si>
    <t xml:space="preserve">T26</t>
  </si>
  <si>
    <t xml:space="preserve">Sub-Agent Slack-Präsenz konfigurieren</t>
  </si>
  <si>
    <t xml:space="preserve">T25,T04</t>
  </si>
  <si>
    <t xml:space="preserve">T27</t>
  </si>
  <si>
    <t xml:space="preserve">End-to-End Pipeline: Trend → Kunst</t>
  </si>
  <si>
    <t xml:space="preserve">T17,T25</t>
  </si>
  <si>
    <t xml:space="preserve">Gesamtkomplexität</t>
  </si>
  <si>
    <t xml:space="preserve">T28</t>
  </si>
  <si>
    <t xml:space="preserve">Automatische Bild-Postprocessing Pipeline</t>
  </si>
  <si>
    <t xml:space="preserve">Qualitätsverlust</t>
  </si>
  <si>
    <t xml:space="preserve">T29</t>
  </si>
  <si>
    <t xml:space="preserve">Content-Kalender &amp; Scheduling</t>
  </si>
  <si>
    <t xml:space="preserve">T30</t>
  </si>
  <si>
    <t xml:space="preserve">Multi-Agent Slack Workflow Orchestrierung</t>
  </si>
  <si>
    <t xml:space="preserve">T26,T16</t>
  </si>
  <si>
    <t xml:space="preserve">Deadlock-Risiko</t>
  </si>
  <si>
    <t xml:space="preserve">T31</t>
  </si>
  <si>
    <t xml:space="preserve">Portfolio/Galerie-Output (Web/Social)</t>
  </si>
  <si>
    <t xml:space="preserve">T32</t>
  </si>
  <si>
    <t xml:space="preserve">Error Handling &amp; Retry-Logik</t>
  </si>
  <si>
    <t xml:space="preserve">Edge Cases</t>
  </si>
  <si>
    <t xml:space="preserve">T33</t>
  </si>
  <si>
    <t xml:space="preserve">Logging &amp; Observability</t>
  </si>
  <si>
    <t xml:space="preserve">T34</t>
  </si>
  <si>
    <t xml:space="preserve">Moderne Kunst Datenbank (20./21. Jhd)</t>
  </si>
  <si>
    <t xml:space="preserve">Lizenzfragen</t>
  </si>
  <si>
    <t xml:space="preserve">T35</t>
  </si>
  <si>
    <t xml:space="preserve">Fotografietheorie &amp; Kompositionsregeln</t>
  </si>
  <si>
    <t xml:space="preserve">T36</t>
  </si>
  <si>
    <t xml:space="preserve">Mode- &amp; Design-Trend Taxonomie</t>
  </si>
  <si>
    <t xml:space="preserve">Schnelle Veralterung</t>
  </si>
  <si>
    <t xml:space="preserve">T37</t>
  </si>
  <si>
    <t xml:space="preserve">Farbtheorie &amp; Ästhetik-Framework</t>
  </si>
  <si>
    <t xml:space="preserve">T38</t>
  </si>
  <si>
    <t xml:space="preserve">Stil-Vokabular &amp; Prompt-Bibliothek</t>
  </si>
  <si>
    <t xml:space="preserve">T13,T34</t>
  </si>
  <si>
    <t xml:space="preserve">Pflege-Aufwand</t>
  </si>
  <si>
    <t xml:space="preserve">T39</t>
  </si>
  <si>
    <t xml:space="preserve">Trend-Quellen Index (100+ Quellen)</t>
  </si>
  <si>
    <t xml:space="preserve">Aktualität</t>
  </si>
  <si>
    <t xml:space="preserve">T40</t>
  </si>
  <si>
    <t xml:space="preserve">Unit Tests: Einzelne Agent-Skills</t>
  </si>
  <si>
    <t xml:space="preserve">T17,T24</t>
  </si>
  <si>
    <t xml:space="preserve">T41</t>
  </si>
  <si>
    <t xml:space="preserve">Integration Tests: Agent-Kommunikation</t>
  </si>
  <si>
    <t xml:space="preserve">T25,T40</t>
  </si>
  <si>
    <t xml:space="preserve">Timing-Issues</t>
  </si>
  <si>
    <t xml:space="preserve">T42</t>
  </si>
  <si>
    <t xml:space="preserve">Bild-Qualitätsbewertung (FID, CLIP Score)</t>
  </si>
  <si>
    <t xml:space="preserve">Metriken vs Ästhetik</t>
  </si>
  <si>
    <t xml:space="preserve">T43</t>
  </si>
  <si>
    <t xml:space="preserve">Load Testing: Multi-Agent unter Last</t>
  </si>
  <si>
    <t xml:space="preserve">GPU-Bottleneck</t>
  </si>
  <si>
    <t xml:space="preserve">T44</t>
  </si>
  <si>
    <t xml:space="preserve">Security Review: API Keys, Zugänge</t>
  </si>
  <si>
    <t xml:space="preserve">Datenleck-Risiko</t>
  </si>
  <si>
    <t xml:space="preserve">T45</t>
  </si>
  <si>
    <t xml:space="preserve">User Acceptance Testing</t>
  </si>
  <si>
    <t xml:space="preserve">T41,T42</t>
  </si>
  <si>
    <t xml:space="preserve">Subjektive Bewertung</t>
  </si>
  <si>
    <t xml:space="preserve">T46</t>
  </si>
  <si>
    <t xml:space="preserve">Production Environment Setup</t>
  </si>
  <si>
    <t xml:space="preserve">Stabilität</t>
  </si>
  <si>
    <t xml:space="preserve">T47</t>
  </si>
  <si>
    <t xml:space="preserve">Agent Deployment &amp; Gateway Config</t>
  </si>
  <si>
    <t xml:space="preserve">Config-Fehler</t>
  </si>
  <si>
    <t xml:space="preserve">T48</t>
  </si>
  <si>
    <t xml:space="preserve">Monitoring Dashboard (Grafana)</t>
  </si>
  <si>
    <t xml:space="preserve">T49</t>
  </si>
  <si>
    <t xml:space="preserve">Alerting &amp; Incident Response</t>
  </si>
  <si>
    <t xml:space="preserve">T50</t>
  </si>
  <si>
    <t xml:space="preserve">Dokumentation &amp; Runbooks</t>
  </si>
  <si>
    <t xml:space="preserve">Alle</t>
  </si>
  <si>
    <t xml:space="preserve">Gesamtfortschritt:</t>
  </si>
  <si>
    <t xml:space="preserve">OFFENE FRAGEN — AI-ARTIST AGENT PROJEKT</t>
  </si>
  <si>
    <t xml:space="preserve">#</t>
  </si>
  <si>
    <t xml:space="preserve">Kategorie</t>
  </si>
  <si>
    <t xml:space="preserve">Frage</t>
  </si>
  <si>
    <t xml:space="preserve">Auswirkung</t>
  </si>
  <si>
    <t xml:space="preserve">Infrastruktur</t>
  </si>
  <si>
    <t xml:space="preserve">Lokaler GPU-Server oder Cloud (RunPod/Lambda/vast.ai)? Kostenvergleich?</t>
  </si>
  <si>
    <t xml:space="preserve">Budget, Latenz, Skalierbarkeit</t>
  </si>
  <si>
    <t xml:space="preserve">LLM Provider</t>
  </si>
  <si>
    <t xml:space="preserve">Welcher LLM-Provider als Backend? (OpenAI GPT-4o, Anthropic Claude, Llama lokal?)</t>
  </si>
  <si>
    <t xml:space="preserve">Kosten, Qualität, Datenschutz</t>
  </si>
  <si>
    <t xml:space="preserve">Image Gen</t>
  </si>
  <si>
    <t xml:space="preserve">Primäres Modell: Flux 2, SDXL, oder SD3? Mehrere parallel?</t>
  </si>
  <si>
    <t xml:space="preserve">GPU-Anforderungen, Qualität</t>
  </si>
  <si>
    <t xml:space="preserve">Fine-Tuning eigener Modelle geplant? (LoRA, DreamBooth)</t>
  </si>
  <si>
    <t xml:space="preserve">Einzigartigkeit, Aufwand</t>
  </si>
  <si>
    <t xml:space="preserve">Social Media</t>
  </si>
  <si>
    <t xml:space="preserve">Instagram API: Business Account vorhanden? Graph API Zugang?</t>
  </si>
  <si>
    <t xml:space="preserve">Trend-Monitoring Funktionalität</t>
  </si>
  <si>
    <t xml:space="preserve">X/Twitter API: Essential/Basic/Pro Tier? Budget für API-Zugang?</t>
  </si>
  <si>
    <t xml:space="preserve">Kosten ($100-5000/Monat)</t>
  </si>
  <si>
    <t xml:space="preserve">Pinterest API Zugang: Developer Account vorhanden?</t>
  </si>
  <si>
    <t xml:space="preserve">Trend-Daten Verfügbarkeit</t>
  </si>
  <si>
    <t xml:space="preserve">Legal</t>
  </si>
  <si>
    <t xml:space="preserve">Copyright-Strategie für KI-generierte Bilder? Urheberrecht?</t>
  </si>
  <si>
    <t xml:space="preserve">Rechtliches Risiko</t>
  </si>
  <si>
    <t xml:space="preserve">Web-Scraping: ToS-Compliance der Kunst/Mode-Seiten prüfen?</t>
  </si>
  <si>
    <t xml:space="preserve">Rechtliches Risiko, Blockierung</t>
  </si>
  <si>
    <t xml:space="preserve">AI-Content Kennzeichnungspflicht (EU AI Act)?</t>
  </si>
  <si>
    <t xml:space="preserve">Compliance-Risiko</t>
  </si>
  <si>
    <t xml:space="preserve">Budget</t>
  </si>
  <si>
    <t xml:space="preserve">Monatliches Budget für API-Calls (LLM + Social Media)?</t>
  </si>
  <si>
    <t xml:space="preserve">Betriebskosten</t>
  </si>
  <si>
    <t xml:space="preserve">GPU-Kosten: Wie viele Bilder/Tag geplant?</t>
  </si>
  <si>
    <t xml:space="preserve">Infrastruktur-Dimensionierung</t>
  </si>
  <si>
    <t xml:space="preserve">Team</t>
  </si>
  <si>
    <t xml:space="preserve">Teamgröße und verfügbare Rollen?</t>
  </si>
  <si>
    <t xml:space="preserve">Timeline, Parallelisierung</t>
  </si>
  <si>
    <t xml:space="preserve">Domain-Expertise Kunst/Mode intern vorhanden?</t>
  </si>
  <si>
    <t xml:space="preserve">Wissensaufbau-Aufwand</t>
  </si>
  <si>
    <t xml:space="preserve">Architektur</t>
  </si>
  <si>
    <t xml:space="preserve">OpenClaw Gateway: Single-Instance oder Cluster?</t>
  </si>
  <si>
    <t xml:space="preserve">Skalierbarkeit, Kosten</t>
  </si>
  <si>
    <t xml:space="preserve">Wie viele Sub-Agents initial? Erweiterbar?</t>
  </si>
  <si>
    <t xml:space="preserve">Komplexität, Kosten</t>
  </si>
  <si>
    <t xml:space="preserve">Content</t>
  </si>
  <si>
    <t xml:space="preserve">Welche Kunststile/Genres als Fokus? (Abstrakt, Fotorealistisch, etc.)</t>
  </si>
  <si>
    <t xml:space="preserve">SOUL.md Design, Modellwahl</t>
  </si>
  <si>
    <t xml:space="preserve">Output-Format: Nur Bilder oder auch Video/Animation?</t>
  </si>
  <si>
    <t xml:space="preserve">GPU-Anforderungen, Toolchain</t>
  </si>
  <si>
    <t xml:space="preserve">Zielgruppe: Kunstsammler, Social-Media, Print, NFT?</t>
  </si>
  <si>
    <t xml:space="preserve">Go-to-Market, Output-Qualität</t>
  </si>
  <si>
    <t xml:space="preserve">Datenschutz</t>
  </si>
  <si>
    <t xml:space="preserve">Wo werden generierte Bilder gespeichert? (S3, lokal, IPFS?)</t>
  </si>
  <si>
    <t xml:space="preserve">Kosten, Verfügbarkeit</t>
  </si>
  <si>
    <t xml:space="preserve">Qualität</t>
  </si>
  <si>
    <t xml:space="preserve">Automatische vs. manuelle Qualitätskontrolle der Bilder?</t>
  </si>
  <si>
    <t xml:space="preserve">Workflow, Human-in-the-Loop</t>
  </si>
  <si>
    <t xml:space="preserve">Monitoring</t>
  </si>
  <si>
    <t xml:space="preserve">Welche Metriken definieren 'Erfolg' des Agenten?</t>
  </si>
  <si>
    <t xml:space="preserve">KPI-Definition</t>
  </si>
  <si>
    <t xml:space="preserve">Integration</t>
  </si>
  <si>
    <t xml:space="preserve">Bestehende Systeme die integriert werden müssen?</t>
  </si>
  <si>
    <t xml:space="preserve">Scope, Timeline</t>
  </si>
  <si>
    <t xml:space="preserve">OpenClaw</t>
  </si>
  <si>
    <t xml:space="preserve">OpenClaw Version: Stable oder Latest? Update-Strategie?</t>
  </si>
  <si>
    <t xml:space="preserve">Stabilität vs. Features</t>
  </si>
  <si>
    <t xml:space="preserve">Slack</t>
  </si>
  <si>
    <t xml:space="preserve">Slack-Channels: Getrennte Channels pro Agent oder gemeinsam?</t>
  </si>
  <si>
    <t xml:space="preserve">Kommunikationsstruktur</t>
  </si>
  <si>
    <t xml:space="preserve">SYSTEMARCHITEKTUR — AI-ARTIST MULTI-AGENT</t>
  </si>
  <si>
    <t xml:space="preserve">Komponente</t>
  </si>
  <si>
    <t xml:space="preserve">Typ</t>
  </si>
  <si>
    <t xml:space="preserve">Technologie</t>
  </si>
  <si>
    <t xml:space="preserve">Abhängig von</t>
  </si>
  <si>
    <t xml:space="preserve">Port/Endpoint</t>
  </si>
  <si>
    <t xml:space="preserve">OpenClaw Gateway</t>
  </si>
  <si>
    <t xml:space="preserve">Core</t>
  </si>
  <si>
    <t xml:space="preserve">OpenClaw v2026.4.x</t>
  </si>
  <si>
    <t xml:space="preserve">Zentraler Agent-Gateway, Message-Routing</t>
  </si>
  <si>
    <t xml:space="preserve">localhost:3000</t>
  </si>
  <si>
    <t xml:space="preserve">Geplant</t>
  </si>
  <si>
    <t xml:space="preserve">Main Agent: AI-Artist</t>
  </si>
  <si>
    <t xml:space="preserve">Agent</t>
  </si>
  <si>
    <t xml:space="preserve">OpenClaw + SOUL.md</t>
  </si>
  <si>
    <t xml:space="preserve">Kreativdirektor, Ideenfindung, Kuratierung</t>
  </si>
  <si>
    <t xml:space="preserve">Gateway</t>
  </si>
  <si>
    <t xml:space="preserve">via Gateway</t>
  </si>
  <si>
    <t xml:space="preserve">Sub-Agent: Social Scout</t>
  </si>
  <si>
    <t xml:space="preserve">Social Media Monitoring, Trend-Analyse</t>
  </si>
  <si>
    <t xml:space="preserve">Gateway, Main Agent</t>
  </si>
  <si>
    <t xml:space="preserve">Sub-Agent: Image-Gen</t>
  </si>
  <si>
    <t xml:space="preserve">OpenClaw + ComfyUI</t>
  </si>
  <si>
    <t xml:space="preserve">Bildgenerierung nach Prompts des Main Agent</t>
  </si>
  <si>
    <t xml:space="preserve">Gateway, ComfyUI</t>
  </si>
  <si>
    <t xml:space="preserve">ComfyUI Server</t>
  </si>
  <si>
    <t xml:space="preserve">Backend</t>
  </si>
  <si>
    <t xml:space="preserve">ComfyUI + Flux 2/SDXL</t>
  </si>
  <si>
    <t xml:space="preserve">Node-basierte Bildgenerierungs-Pipeline</t>
  </si>
  <si>
    <t xml:space="preserve">GPU Server</t>
  </si>
  <si>
    <t xml:space="preserve">localhost:8188</t>
  </si>
  <si>
    <t xml:space="preserve">MCP Server (ComfyUI)</t>
  </si>
  <si>
    <t xml:space="preserve">Bridge</t>
  </si>
  <si>
    <t xml:space="preserve">ComfyUI-OpenClaw MCP</t>
  </si>
  <si>
    <t xml:space="preserve">Verbindet OpenClaw Agents mit ComfyUI</t>
  </si>
  <si>
    <t xml:space="preserve">ComfyUI, Gateway</t>
  </si>
  <si>
    <t xml:space="preserve">localhost:8200</t>
  </si>
  <si>
    <t xml:space="preserve">Slack Integration</t>
  </si>
  <si>
    <t xml:space="preserve">Channel</t>
  </si>
  <si>
    <t xml:space="preserve">OpenClaw Slack Plugin</t>
  </si>
  <si>
    <t xml:space="preserve">Agent-Kommunikation in Slack Channels</t>
  </si>
  <si>
    <t xml:space="preserve">Gateway, Slack API</t>
  </si>
  <si>
    <t xml:space="preserve">Webhook</t>
  </si>
  <si>
    <t xml:space="preserve">Infra</t>
  </si>
  <si>
    <t xml:space="preserve">NVIDIA A100/RTX 4090</t>
  </si>
  <si>
    <t xml:space="preserve">GPU-Compute für Bildgenerierung</t>
  </si>
  <si>
    <t xml:space="preserve">SSH/API</t>
  </si>
  <si>
    <t xml:space="preserve">LLM API</t>
  </si>
  <si>
    <t xml:space="preserve">Extern</t>
  </si>
  <si>
    <t xml:space="preserve">Claude/GPT-4o/Llama</t>
  </si>
  <si>
    <t xml:space="preserve">Sprachmodell für Agent-Reasoning</t>
  </si>
  <si>
    <t xml:space="preserve">API Key</t>
  </si>
  <si>
    <t xml:space="preserve">HTTPS</t>
  </si>
  <si>
    <t xml:space="preserve">Image Storage</t>
  </si>
  <si>
    <t xml:space="preserve">S3/MinIO</t>
  </si>
  <si>
    <t xml:space="preserve">Speicherung generierter Bilder</t>
  </si>
  <si>
    <t xml:space="preserve">Grafana + Prometheus</t>
  </si>
  <si>
    <t xml:space="preserve">System- und Agent-Monitoring</t>
  </si>
  <si>
    <t xml:space="preserve">Alle Komponenten</t>
  </si>
  <si>
    <t xml:space="preserve">localhost:3001</t>
  </si>
  <si>
    <t xml:space="preserve">AGENT-KOMMUNIKATIONSFLUSS</t>
  </si>
  <si>
    <t xml:space="preserve">Von</t>
  </si>
  <si>
    <t xml:space="preserve">Nach</t>
  </si>
  <si>
    <t xml:space="preserve">Kanal</t>
  </si>
  <si>
    <t xml:space="preserve">Nachrichtentyp</t>
  </si>
  <si>
    <t xml:space="preserve">Beispiel</t>
  </si>
  <si>
    <t xml:space="preserve">Frequenz</t>
  </si>
  <si>
    <t xml:space="preserve">Social Scout</t>
  </si>
  <si>
    <t xml:space="preserve">Main Agent</t>
  </si>
  <si>
    <t xml:space="preserve">Inter-Agent / Slack</t>
  </si>
  <si>
    <t xml:space="preserve">Trend-Report</t>
  </si>
  <si>
    <t xml:space="preserve">"Neon-Surrealismus trendet auf Pinterest +340%"</t>
  </si>
  <si>
    <t xml:space="preserve">4x täglich</t>
  </si>
  <si>
    <t xml:space="preserve">Image-Gen Agent</t>
  </si>
  <si>
    <t xml:space="preserve">Bildauftrag</t>
  </si>
  <si>
    <t xml:space="preserve">"Erstelle: Neon-surreales Stadtbild, Flux 2, 1024x1024"</t>
  </si>
  <si>
    <t xml:space="preserve">Nach Trend-Analyse</t>
  </si>
  <si>
    <t xml:space="preserve">Bild-Ergebnis</t>
  </si>
  <si>
    <t xml:space="preserve">"4 Varianten generiert, CLIP-Score: 0.87"</t>
  </si>
  <si>
    <t xml:space="preserve">Pro Auftrag</t>
  </si>
  <si>
    <t xml:space="preserve">Feedback</t>
  </si>
  <si>
    <t xml:space="preserve">"Variante 2 verfeinern, mehr Kontrast"</t>
  </si>
  <si>
    <t xml:space="preserve">Bei Bedarf</t>
  </si>
  <si>
    <t xml:space="preserve">Slack Channel</t>
  </si>
  <si>
    <t xml:space="preserve">Slack API</t>
  </si>
  <si>
    <t xml:space="preserve">Galerie-Post</t>
  </si>
  <si>
    <t xml:space="preserve">"Neue Serie: Urban Dreams — 8 Werke"</t>
  </si>
  <si>
    <t xml:space="preserve">1-2x täglich</t>
  </si>
  <si>
    <t xml:space="preserve">Trend-Briefing</t>
  </si>
  <si>
    <t xml:space="preserve">"Wöchentliches Trend-Briefing KW25"</t>
  </si>
  <si>
    <t xml:space="preserve">Wöchentlich</t>
  </si>
  <si>
    <t xml:space="preserve">PREREQUISITES, REQUIREMENTS &amp; SKILLS</t>
  </si>
  <si>
    <t xml:space="preserve">Requirement</t>
  </si>
  <si>
    <t xml:space="preserve">Details</t>
  </si>
  <si>
    <t xml:space="preserve">Kritikalität</t>
  </si>
  <si>
    <t xml:space="preserve">Beschaffung</t>
  </si>
  <si>
    <t xml:space="preserve">Software</t>
  </si>
  <si>
    <t xml:space="preserve">OpenClaw (latest stable)</t>
  </si>
  <si>
    <t xml:space="preserve">Open Source, GitHub, npm/Docker install</t>
  </si>
  <si>
    <t xml:space="preserve">github.com/openclaw/openclaw</t>
  </si>
  <si>
    <t xml:space="preserve">Ausstehend</t>
  </si>
  <si>
    <t xml:space="preserve">ComfyUI</t>
  </si>
  <si>
    <t xml:space="preserve">Node-basierter Image-Gen UI</t>
  </si>
  <si>
    <t xml:space="preserve">github.com/comfyanonymous</t>
  </si>
  <si>
    <t xml:space="preserve">ComfyUI-OpenClaw MCP Plugin</t>
  </si>
  <si>
    <t xml:space="preserve">Bridge zwischen OpenClaw und ComfyUI</t>
  </si>
  <si>
    <t xml:space="preserve">ClawHub / GitHub</t>
  </si>
  <si>
    <t xml:space="preserve">Python 3.11+</t>
  </si>
  <si>
    <t xml:space="preserve">Für Skills, Scripts, MCP Server</t>
  </si>
  <si>
    <t xml:space="preserve">python.org</t>
  </si>
  <si>
    <t xml:space="preserve">Node.js 20+</t>
  </si>
  <si>
    <t xml:space="preserve">OpenClaw Runtime</t>
  </si>
  <si>
    <t xml:space="preserve">nodejs.org</t>
  </si>
  <si>
    <t xml:space="preserve">Docker &amp; Docker Compose</t>
  </si>
  <si>
    <t xml:space="preserve">Containerisierung</t>
  </si>
  <si>
    <t xml:space="preserve">docker.com</t>
  </si>
  <si>
    <t xml:space="preserve">AI Modelle</t>
  </si>
  <si>
    <t xml:space="preserve">Flux 2 (dev/schnell)</t>
  </si>
  <si>
    <t xml:space="preserve">Primäres Image-Gen Modell</t>
  </si>
  <si>
    <t xml:space="preserve">HuggingFace / Black Forest Labs</t>
  </si>
  <si>
    <t xml:space="preserve">Stable Diffusion XL</t>
  </si>
  <si>
    <t xml:space="preserve">Sekundäres Modell, breite Stilpalette</t>
  </si>
  <si>
    <t xml:space="preserve">HuggingFace / Stability AI</t>
  </si>
  <si>
    <t xml:space="preserve">CLIP Model</t>
  </si>
  <si>
    <t xml:space="preserve">Bild-Text Matching, Qualitätsbewertung</t>
  </si>
  <si>
    <t xml:space="preserve">HuggingFace / OpenAI</t>
  </si>
  <si>
    <t xml:space="preserve">ControlNet Modelle</t>
  </si>
  <si>
    <t xml:space="preserve">Komposition, Pose, Tiefenkontrolle</t>
  </si>
  <si>
    <t xml:space="preserve">HuggingFace</t>
  </si>
  <si>
    <t xml:space="preserve">IP-Adapter</t>
  </si>
  <si>
    <t xml:space="preserve">Style Transfer, Referenzbilder</t>
  </si>
  <si>
    <t xml:space="preserve">Hardware</t>
  </si>
  <si>
    <t xml:space="preserve">GPU: min. 12GB VRAM (24GB empf.)</t>
  </si>
  <si>
    <t xml:space="preserve">RTX 4090 / A100 / H100</t>
  </si>
  <si>
    <t xml:space="preserve">Kauf oder Cloud</t>
  </si>
  <si>
    <t xml:space="preserve">RAM: min. 32GB</t>
  </si>
  <si>
    <t xml:space="preserve">Für ComfyUI + Modelle</t>
  </si>
  <si>
    <t xml:space="preserve">Storage: min. 500GB SSD</t>
  </si>
  <si>
    <t xml:space="preserve">Modelle ~50GB+, Bilder, Logs</t>
  </si>
  <si>
    <t xml:space="preserve">API Keys</t>
  </si>
  <si>
    <t xml:space="preserve">LLM Provider API Key</t>
  </si>
  <si>
    <t xml:space="preserve">OpenAI / Anthropic / lokales Modell</t>
  </si>
  <si>
    <t xml:space="preserve">Provider Website</t>
  </si>
  <si>
    <t xml:space="preserve">Slack Bot Token</t>
  </si>
  <si>
    <t xml:space="preserve">Bot + App erstellen, Scopes setzen</t>
  </si>
  <si>
    <t xml:space="preserve">api.slack.com</t>
  </si>
  <si>
    <t xml:space="preserve">Instagram Graph API</t>
  </si>
  <si>
    <t xml:space="preserve">Business Account erforderlich</t>
  </si>
  <si>
    <t xml:space="preserve">developers.facebook.com</t>
  </si>
  <si>
    <t xml:space="preserve">Pinterest API</t>
  </si>
  <si>
    <t xml:space="preserve">Developer Account</t>
  </si>
  <si>
    <t xml:space="preserve">developers.pinterest.com</t>
  </si>
  <si>
    <t xml:space="preserve">X/Twitter API</t>
  </si>
  <si>
    <t xml:space="preserve">Basic/Pro Tier (kostenpflichtig)</t>
  </si>
  <si>
    <t xml:space="preserve">developer.x.com</t>
  </si>
  <si>
    <t xml:space="preserve">Team Skills</t>
  </si>
  <si>
    <t xml:space="preserve">OpenClaw Administration</t>
  </si>
  <si>
    <t xml:space="preserve">SOUL.md, AGENTS.md, Gateway Config</t>
  </si>
  <si>
    <t xml:space="preserve">Docs + Community</t>
  </si>
  <si>
    <t xml:space="preserve">Aufbauen</t>
  </si>
  <si>
    <t xml:space="preserve">Prompt Engineering (Bild)</t>
  </si>
  <si>
    <t xml:space="preserve">Flux/SDXL Prompt-Syntax, Negative Prompts</t>
  </si>
  <si>
    <t xml:space="preserve">Training / Praxis</t>
  </si>
  <si>
    <t xml:space="preserve">ComfyUI Workflow Design</t>
  </si>
  <si>
    <t xml:space="preserve">Node-Workflows, Custom Nodes</t>
  </si>
  <si>
    <t xml:space="preserve">Tutorials / Praxis</t>
  </si>
  <si>
    <t xml:space="preserve">Kunsthistorik &amp; Stilkunde</t>
  </si>
  <si>
    <t xml:space="preserve">Epochen, Bewegungen, Techniken</t>
  </si>
  <si>
    <t xml:space="preserve">Literatur / Kurse</t>
  </si>
  <si>
    <t xml:space="preserve">Fotografie &amp; Komposition</t>
  </si>
  <si>
    <t xml:space="preserve">Goldener Schnitt, Licht, Farbe</t>
  </si>
  <si>
    <t xml:space="preserve">Literatur / Praxis</t>
  </si>
  <si>
    <t xml:space="preserve">Python / MCP Development</t>
  </si>
  <si>
    <t xml:space="preserve">Custom Skills &amp; MCP Server</t>
  </si>
  <si>
    <t xml:space="preserve">Docs / Praxis</t>
  </si>
  <si>
    <t xml:space="preserve">Social Media APIs</t>
  </si>
  <si>
    <t xml:space="preserve">REST APIs, OAuth, Rate Limiting</t>
  </si>
  <si>
    <t xml:space="preserve">API Docs</t>
  </si>
  <si>
    <t xml:space="preserve">DevOps / Docker / CI-CD</t>
  </si>
  <si>
    <t xml:space="preserve">Deployment, Monitoring</t>
  </si>
  <si>
    <t xml:space="preserve">Praxis</t>
  </si>
  <si>
    <t xml:space="preserve">RISIKO-REGISTER</t>
  </si>
  <si>
    <t xml:space="preserve">Wahrscheinlichkeit</t>
  </si>
  <si>
    <t xml:space="preserve">Impact</t>
  </si>
  <si>
    <t xml:space="preserve">Score</t>
  </si>
  <si>
    <t xml:space="preserve">Mitigation</t>
  </si>
  <si>
    <t xml:space="preserve">Owner</t>
  </si>
  <si>
    <t xml:space="preserve">GPU-Kosten explodieren</t>
  </si>
  <si>
    <t xml:space="preserve">Budget-Caps, Spot Instances, Modell-Optimierung</t>
  </si>
  <si>
    <t xml:space="preserve">Aktiv</t>
  </si>
  <si>
    <t xml:space="preserve">API Rate Limits (Social Media)</t>
  </si>
  <si>
    <t xml:space="preserve">Caching, mehrere Accounts, Fallback-Quellen</t>
  </si>
  <si>
    <t xml:space="preserve">Bildqualität unter Erwartung</t>
  </si>
  <si>
    <t xml:space="preserve">LoRA Training, Prompt-Iteration, Multi-Model</t>
  </si>
  <si>
    <t xml:space="preserve">Copyright-Verletzung durch KI-Bilder</t>
  </si>
  <si>
    <t xml:space="preserve">Rechtsberatung, Content-Filter, Labeling</t>
  </si>
  <si>
    <t xml:space="preserve">OpenClaw Breaking Changes</t>
  </si>
  <si>
    <t xml:space="preserve">Version pinnen, Changelogs monitoren</t>
  </si>
  <si>
    <t xml:space="preserve">Beobachten</t>
  </si>
  <si>
    <t xml:space="preserve">Inter-Agent Deadlocks</t>
  </si>
  <si>
    <t xml:space="preserve">Timeout-Mechanismen, Circuit Breaker</t>
  </si>
  <si>
    <t xml:space="preserve">Social Media API Änderungen</t>
  </si>
  <si>
    <t xml:space="preserve">Abstraktionsschicht, schnelle Anpassung</t>
  </si>
  <si>
    <t xml:space="preserve">EU AI Act Compliance</t>
  </si>
  <si>
    <t xml:space="preserve">Legal Review, Kennzeichnung, Dokumentation</t>
  </si>
  <si>
    <t xml:space="preserve">Token-Kosten LLM übersteigen Budget</t>
  </si>
  <si>
    <t xml:space="preserve">Lokales Modell als Fallback, Caching</t>
  </si>
  <si>
    <t xml:space="preserve">Team-Skills nicht ausreichend</t>
  </si>
  <si>
    <t xml:space="preserve">Schulungen, externe Berater, Community</t>
  </si>
  <si>
    <t xml:space="preserve">Datenverlust generierter Bilder</t>
  </si>
  <si>
    <t xml:space="preserve">Backups, redundanter Storage</t>
  </si>
  <si>
    <t xml:space="preserve">Agent-Halluzinationen in Trend-Analyse</t>
  </si>
  <si>
    <t xml:space="preserve">Fact-Checking Pipeline, Human Review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</si>
</sst>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4A90D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95A5A6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4A90D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B1F3B"/>
        <bgColor rgb="FF2C3E50"/>
      </patternFill>
    </fill>
    <fill>
      <patternFill patternType="solid">
        <fgColor rgb="FF34495E"/>
        <bgColor rgb="FF2C3E50"/>
      </patternFill>
    </fill>
    <fill>
      <patternFill patternType="solid">
        <fgColor rgb="FFFFFFFF"/>
        <bgColor rgb="FFF9F9F9"/>
      </patternFill>
    </fill>
    <fill>
      <patternFill patternType="solid">
        <fgColor rgb="FF2C3E50"/>
        <bgColor rgb="FF34495E"/>
      </patternFill>
    </fill>
    <fill>
      <patternFill patternType="solid">
        <fgColor rgb="FFECF0F1"/>
        <bgColor rgb="FFF9F9F9"/>
      </patternFill>
    </fill>
    <fill>
      <patternFill patternType="solid">
        <fgColor rgb="FF8E44AD"/>
        <bgColor rgb="FF8064A2"/>
      </patternFill>
    </fill>
    <fill>
      <patternFill patternType="solid">
        <fgColor rgb="FFE74C3C"/>
        <bgColor rgb="FFC0504D"/>
      </patternFill>
    </fill>
    <fill>
      <patternFill patternType="solid">
        <fgColor rgb="FF3498DB"/>
        <bgColor rgb="FF4A90D9"/>
      </patternFill>
    </fill>
    <fill>
      <patternFill patternType="solid">
        <fgColor rgb="FFF39C12"/>
        <bgColor rgb="FFFFCC00"/>
      </patternFill>
    </fill>
    <fill>
      <patternFill patternType="solid">
        <fgColor rgb="FF27AE6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C3E50"/>
          <bgColor rgb="FF000000"/>
        </patternFill>
      </fill>
    </dxf>
    <dxf>
      <fill>
        <patternFill patternType="solid">
          <fgColor rgb="FFECF0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498DB"/>
          <bgColor rgb="FF000000"/>
        </patternFill>
      </fill>
    </dxf>
    <dxf>
      <fill>
        <patternFill patternType="solid">
          <fgColor rgb="FF8E44AD"/>
          <bgColor rgb="FF000000"/>
        </patternFill>
      </fill>
    </dxf>
    <dxf>
      <fill>
        <patternFill patternType="solid">
          <fgColor rgb="FFE74C3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Task-Status Verteilung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Dashboard!B18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</c:dLbls>
          <c:cat>
            <c:strRef>
              <c:f>Dashboard!$A$19:$A$22</c:f>
              <c:strCache>
                <c:ptCount val="4"/>
                <c:pt idx="0">
                  <c:v>Offen</c:v>
                </c:pt>
                <c:pt idx="1">
                  <c:v>In Arbeit</c:v>
                </c:pt>
                <c:pt idx="2">
                  <c:v>Erledigt</c:v>
                </c:pt>
                <c:pt idx="3">
                  <c:v>Blockiert</c:v>
                </c:pt>
              </c:strCache>
            </c:strRef>
          </c:cat>
          <c:val>
            <c:numRef>
              <c:f>Dashboard!$B$19:$B$22</c:f>
              <c:numCache>
                <c:formatCode>General</c:formatCode>
                <c:ptCount val="4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Tasks nach Priorität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Dashboard!E18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Dashboard!$D$19:$D$22</c:f>
              <c:strCache>
                <c:ptCount val="4"/>
                <c:pt idx="0">
                  <c:v>Kritisch</c:v>
                </c:pt>
                <c:pt idx="1">
                  <c:v>Hoch</c:v>
                </c:pt>
                <c:pt idx="2">
                  <c:v>Mittel</c:v>
                </c:pt>
                <c:pt idx="3">
                  <c:v>Niedrig</c:v>
                </c:pt>
              </c:strCache>
            </c:strRef>
          </c:cat>
          <c:val>
            <c:numRef>
              <c:f>Dashboard!$E$19:$E$22</c:f>
              <c:numCache>
                <c:formatCode>General</c:formatCode>
                <c:ptCount val="4"/>
                <c:pt idx="0">
                  <c:v>14</c:v>
                </c:pt>
                <c:pt idx="1">
                  <c:v>21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8189606"/>
        <c:axId val="82127233"/>
      </c:barChart>
      <c:catAx>
        <c:axId val="881896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127233"/>
        <c:crosses val="autoZero"/>
        <c:auto val="1"/>
        <c:lblAlgn val="ctr"/>
        <c:lblOffset val="100"/>
        <c:noMultiLvlLbl val="0"/>
      </c:catAx>
      <c:valAx>
        <c:axId val="82127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1896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0</xdr:rowOff>
    </xdr:from>
    <xdr:to>
      <xdr:col>4</xdr:col>
      <xdr:colOff>528480</xdr:colOff>
      <xdr:row>41</xdr:row>
      <xdr:rowOff>170640</xdr:rowOff>
    </xdr:to>
    <xdr:graphicFrame>
      <xdr:nvGraphicFramePr>
        <xdr:cNvPr id="1" name="Chart 1"/>
        <xdr:cNvGraphicFramePr/>
      </xdr:nvGraphicFramePr>
      <xdr:xfrm>
        <a:off x="0" y="520524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23</xdr:row>
      <xdr:rowOff>0</xdr:rowOff>
    </xdr:from>
    <xdr:to>
      <xdr:col>9</xdr:col>
      <xdr:colOff>528480</xdr:colOff>
      <xdr:row>41</xdr:row>
      <xdr:rowOff>170640</xdr:rowOff>
    </xdr:to>
    <xdr:graphicFrame>
      <xdr:nvGraphicFramePr>
        <xdr:cNvPr id="2" name="Chart 2"/>
        <xdr:cNvGraphicFramePr/>
      </xdr:nvGraphicFramePr>
      <xdr:xfrm>
        <a:off x="5638680" y="520524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90D9"/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4" min="1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5" hidden="false" customHeight="true" outlineLevel="0" collapsed="false">
      <c r="A3" s="2" t="s">
        <v>1</v>
      </c>
      <c r="B3" s="2"/>
      <c r="C3" s="2" t="s">
        <v>2</v>
      </c>
      <c r="D3" s="2"/>
      <c r="E3" s="2" t="s">
        <v>3</v>
      </c>
      <c r="F3" s="2"/>
      <c r="G3" s="2" t="s">
        <v>4</v>
      </c>
      <c r="H3" s="2"/>
      <c r="I3" s="2" t="s">
        <v>5</v>
      </c>
      <c r="J3" s="2"/>
      <c r="K3" s="2" t="s">
        <v>6</v>
      </c>
      <c r="L3" s="2"/>
      <c r="M3" s="2" t="s">
        <v>7</v>
      </c>
      <c r="N3" s="2"/>
    </row>
    <row r="4" customFormat="false" ht="22.05" hidden="false" customHeight="false" outlineLevel="0" collapsed="false">
      <c r="A4" s="3" t="n">
        <f aca="false">Detailplan!S56</f>
        <v>0</v>
      </c>
      <c r="B4" s="3"/>
      <c r="C4" s="4" t="n">
        <f aca="false">COUNTA(Detailplan!A4:A55)</f>
        <v>50</v>
      </c>
      <c r="D4" s="4"/>
      <c r="E4" s="4" t="n">
        <f aca="false">COUNTIF(Detailplan!D4:D55,"Erledigt")</f>
        <v>0</v>
      </c>
      <c r="F4" s="4"/>
      <c r="G4" s="4" t="n">
        <f aca="false">COUNTIF(Detailplan!D4:D55,"In Arbeit")</f>
        <v>0</v>
      </c>
      <c r="H4" s="4"/>
      <c r="I4" s="4" t="n">
        <f aca="false">COUNTIF(Detailplan!D4:D55,"Offen")</f>
        <v>50</v>
      </c>
      <c r="J4" s="4"/>
      <c r="K4" s="4" t="n">
        <f aca="false">COUNTIF(Detailplan!E4:E55,"Kritisch")</f>
        <v>14</v>
      </c>
      <c r="L4" s="4"/>
      <c r="M4" s="4" t="n">
        <v>3</v>
      </c>
      <c r="N4" s="4"/>
    </row>
    <row r="6" customFormat="false" ht="15" hidden="false" customHeight="false" outlineLevel="0" collapsed="false">
      <c r="A6" s="5"/>
    </row>
    <row r="7" customFormat="false" ht="17.35" hidden="false" customHeight="false" outlineLevel="0" collapsed="false">
      <c r="A7" s="1" t="s">
        <v>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customFormat="false" ht="15" hidden="false" customHeight="false" outlineLevel="0" collapsed="false">
      <c r="A8" s="6" t="s">
        <v>9</v>
      </c>
      <c r="B8" s="6" t="s">
        <v>10</v>
      </c>
      <c r="C8" s="6" t="s">
        <v>11</v>
      </c>
      <c r="D8" s="6" t="s">
        <v>12</v>
      </c>
      <c r="E8" s="6" t="s">
        <v>13</v>
      </c>
      <c r="F8" s="6" t="s">
        <v>14</v>
      </c>
      <c r="G8" s="6" t="s">
        <v>15</v>
      </c>
      <c r="H8" s="6" t="s">
        <v>16</v>
      </c>
      <c r="I8" s="6" t="s">
        <v>17</v>
      </c>
      <c r="J8" s="6" t="s">
        <v>18</v>
      </c>
    </row>
    <row r="9" customFormat="false" ht="23.85" hidden="false" customHeight="false" outlineLevel="0" collapsed="false">
      <c r="A9" s="7" t="s">
        <v>19</v>
      </c>
      <c r="B9" s="7" t="s">
        <v>20</v>
      </c>
      <c r="C9" s="7" t="n">
        <v>8</v>
      </c>
      <c r="D9" s="7" t="n">
        <v>0</v>
      </c>
      <c r="E9" s="8" t="n">
        <v>0</v>
      </c>
      <c r="F9" s="7" t="s">
        <v>21</v>
      </c>
      <c r="G9" s="7" t="s">
        <v>22</v>
      </c>
      <c r="H9" s="7" t="s">
        <v>23</v>
      </c>
      <c r="I9" s="7" t="s">
        <v>24</v>
      </c>
      <c r="J9" s="7" t="s">
        <v>25</v>
      </c>
    </row>
    <row r="10" customFormat="false" ht="23.85" hidden="false" customHeight="false" outlineLevel="0" collapsed="false">
      <c r="A10" s="9" t="s">
        <v>26</v>
      </c>
      <c r="B10" s="9" t="s">
        <v>27</v>
      </c>
      <c r="C10" s="9" t="n">
        <v>10</v>
      </c>
      <c r="D10" s="9" t="n">
        <v>0</v>
      </c>
      <c r="E10" s="10" t="n">
        <v>0</v>
      </c>
      <c r="F10" s="9" t="s">
        <v>21</v>
      </c>
      <c r="G10" s="9" t="s">
        <v>28</v>
      </c>
      <c r="H10" s="9" t="s">
        <v>29</v>
      </c>
      <c r="I10" s="9" t="s">
        <v>30</v>
      </c>
      <c r="J10" s="9" t="s">
        <v>31</v>
      </c>
    </row>
    <row r="11" customFormat="false" ht="23.85" hidden="false" customHeight="false" outlineLevel="0" collapsed="false">
      <c r="A11" s="7" t="s">
        <v>32</v>
      </c>
      <c r="B11" s="7" t="s">
        <v>33</v>
      </c>
      <c r="C11" s="7" t="n">
        <v>8</v>
      </c>
      <c r="D11" s="7" t="n">
        <v>0</v>
      </c>
      <c r="E11" s="8" t="n">
        <v>0</v>
      </c>
      <c r="F11" s="7" t="s">
        <v>21</v>
      </c>
      <c r="G11" s="7" t="s">
        <v>28</v>
      </c>
      <c r="H11" s="7" t="s">
        <v>34</v>
      </c>
      <c r="I11" s="7" t="s">
        <v>35</v>
      </c>
      <c r="J11" s="7" t="s">
        <v>31</v>
      </c>
    </row>
    <row r="12" customFormat="false" ht="23.85" hidden="false" customHeight="false" outlineLevel="0" collapsed="false">
      <c r="A12" s="9" t="s">
        <v>36</v>
      </c>
      <c r="B12" s="9" t="s">
        <v>37</v>
      </c>
      <c r="C12" s="9" t="n">
        <v>7</v>
      </c>
      <c r="D12" s="9" t="n">
        <v>0</v>
      </c>
      <c r="E12" s="10" t="n">
        <v>0</v>
      </c>
      <c r="F12" s="9" t="s">
        <v>21</v>
      </c>
      <c r="G12" s="9" t="s">
        <v>38</v>
      </c>
      <c r="H12" s="9" t="s">
        <v>39</v>
      </c>
      <c r="I12" s="9" t="s">
        <v>40</v>
      </c>
      <c r="J12" s="9" t="s">
        <v>25</v>
      </c>
    </row>
    <row r="13" customFormat="false" ht="23.85" hidden="false" customHeight="false" outlineLevel="0" collapsed="false">
      <c r="A13" s="7" t="s">
        <v>41</v>
      </c>
      <c r="B13" s="7" t="s">
        <v>42</v>
      </c>
      <c r="C13" s="7" t="n">
        <v>6</v>
      </c>
      <c r="D13" s="7" t="n">
        <v>0</v>
      </c>
      <c r="E13" s="8" t="n">
        <v>0</v>
      </c>
      <c r="F13" s="7" t="s">
        <v>21</v>
      </c>
      <c r="G13" s="7" t="s">
        <v>43</v>
      </c>
      <c r="H13" s="7" t="s">
        <v>44</v>
      </c>
      <c r="I13" s="7" t="s">
        <v>45</v>
      </c>
      <c r="J13" s="7" t="s">
        <v>25</v>
      </c>
    </row>
    <row r="14" customFormat="false" ht="15" hidden="false" customHeight="false" outlineLevel="0" collapsed="false">
      <c r="A14" s="9" t="s">
        <v>46</v>
      </c>
      <c r="B14" s="9" t="s">
        <v>47</v>
      </c>
      <c r="C14" s="9" t="n">
        <v>6</v>
      </c>
      <c r="D14" s="9" t="n">
        <v>0</v>
      </c>
      <c r="E14" s="10" t="n">
        <v>0</v>
      </c>
      <c r="F14" s="9" t="s">
        <v>21</v>
      </c>
      <c r="G14" s="9" t="s">
        <v>48</v>
      </c>
      <c r="H14" s="9" t="s">
        <v>49</v>
      </c>
      <c r="I14" s="9" t="s">
        <v>50</v>
      </c>
      <c r="J14" s="9" t="s">
        <v>51</v>
      </c>
    </row>
    <row r="15" customFormat="false" ht="23.85" hidden="false" customHeight="false" outlineLevel="0" collapsed="false">
      <c r="A15" s="7" t="s">
        <v>52</v>
      </c>
      <c r="B15" s="7" t="s">
        <v>53</v>
      </c>
      <c r="C15" s="7" t="n">
        <v>5</v>
      </c>
      <c r="D15" s="7" t="n">
        <v>0</v>
      </c>
      <c r="E15" s="8" t="n">
        <v>0</v>
      </c>
      <c r="F15" s="7" t="s">
        <v>21</v>
      </c>
      <c r="G15" s="7" t="s">
        <v>22</v>
      </c>
      <c r="H15" s="7" t="s">
        <v>54</v>
      </c>
      <c r="I15" s="7" t="s">
        <v>55</v>
      </c>
      <c r="J15" s="7" t="s">
        <v>51</v>
      </c>
    </row>
    <row r="18" customFormat="false" ht="15" hidden="false" customHeight="false" outlineLevel="0" collapsed="false">
      <c r="A18" s="11" t="s">
        <v>14</v>
      </c>
      <c r="B18" s="11" t="s">
        <v>56</v>
      </c>
      <c r="D18" s="11" t="s">
        <v>57</v>
      </c>
      <c r="E18" s="11" t="s">
        <v>56</v>
      </c>
    </row>
    <row r="19" customFormat="false" ht="15" hidden="false" customHeight="false" outlineLevel="0" collapsed="false">
      <c r="A19" s="0" t="s">
        <v>21</v>
      </c>
      <c r="B19" s="0" t="n">
        <f aca="false">COUNTIF(Detailplan!D4:D55,"Offen")</f>
        <v>50</v>
      </c>
      <c r="D19" s="0" t="s">
        <v>58</v>
      </c>
      <c r="E19" s="0" t="n">
        <f aca="false">COUNTIF(Detailplan!E4:E55,"Kritisch")</f>
        <v>14</v>
      </c>
    </row>
    <row r="20" customFormat="false" ht="15" hidden="false" customHeight="false" outlineLevel="0" collapsed="false">
      <c r="A20" s="0" t="s">
        <v>59</v>
      </c>
      <c r="B20" s="0" t="n">
        <f aca="false">COUNTIF(Detailplan!D4:D55,"In Arbeit")</f>
        <v>0</v>
      </c>
      <c r="D20" s="0" t="s">
        <v>31</v>
      </c>
      <c r="E20" s="0" t="n">
        <f aca="false">COUNTIF(Detailplan!E4:E55,"Hoch")</f>
        <v>21</v>
      </c>
    </row>
    <row r="21" customFormat="false" ht="15" hidden="false" customHeight="false" outlineLevel="0" collapsed="false">
      <c r="A21" s="0" t="s">
        <v>12</v>
      </c>
      <c r="B21" s="0" t="n">
        <f aca="false">COUNTIF(Detailplan!D4:D55,"Erledigt")</f>
        <v>0</v>
      </c>
      <c r="D21" s="0" t="s">
        <v>25</v>
      </c>
      <c r="E21" s="0" t="n">
        <f aca="false">COUNTIF(Detailplan!E4:E55,"Mittel")</f>
        <v>15</v>
      </c>
    </row>
    <row r="22" customFormat="false" ht="15" hidden="false" customHeight="false" outlineLevel="0" collapsed="false">
      <c r="A22" s="0" t="s">
        <v>60</v>
      </c>
      <c r="B22" s="0" t="n">
        <f aca="false">COUNTIF(Detailplan!D4:D55,"Blockiert")</f>
        <v>0</v>
      </c>
      <c r="D22" s="0" t="s">
        <v>51</v>
      </c>
      <c r="E22" s="0" t="n">
        <f aca="false">COUNTIF(Detailplan!E4:E55,"Niedrig")</f>
        <v>0</v>
      </c>
    </row>
  </sheetData>
  <mergeCells count="16">
    <mergeCell ref="A1:L1"/>
    <mergeCell ref="A3:B3"/>
    <mergeCell ref="C3:D3"/>
    <mergeCell ref="E3:F3"/>
    <mergeCell ref="G3:H3"/>
    <mergeCell ref="I3:J3"/>
    <mergeCell ref="K3:L3"/>
    <mergeCell ref="M3:N3"/>
    <mergeCell ref="A4:B4"/>
    <mergeCell ref="C4:D4"/>
    <mergeCell ref="E4:F4"/>
    <mergeCell ref="G4:H4"/>
    <mergeCell ref="I4:J4"/>
    <mergeCell ref="K4:L4"/>
    <mergeCell ref="M4:N4"/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S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45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30"/>
    <col collapsed="false" customWidth="true" hidden="false" outlineLevel="0" max="13" min="13" style="0" width="14"/>
    <col collapsed="false" customWidth="true" hidden="false" outlineLevel="0" max="19" min="14" style="0" width="8"/>
  </cols>
  <sheetData>
    <row r="1" customFormat="false" ht="17.35" hidden="false" customHeight="false" outlineLevel="0" collapsed="false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" hidden="false" customHeight="true" outlineLevel="0" collapsed="false">
      <c r="A2" s="12" t="s">
        <v>62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customFormat="false" ht="39.55" hidden="false" customHeight="false" outlineLevel="0" collapsed="false">
      <c r="A3" s="6" t="s">
        <v>63</v>
      </c>
      <c r="B3" s="6" t="s">
        <v>9</v>
      </c>
      <c r="C3" s="6" t="s">
        <v>64</v>
      </c>
      <c r="D3" s="6" t="s">
        <v>14</v>
      </c>
      <c r="E3" s="6" t="s">
        <v>57</v>
      </c>
      <c r="F3" s="6" t="s">
        <v>15</v>
      </c>
      <c r="G3" s="6" t="s">
        <v>65</v>
      </c>
      <c r="H3" s="6" t="s">
        <v>66</v>
      </c>
      <c r="I3" s="6" t="s">
        <v>67</v>
      </c>
      <c r="J3" s="6" t="s">
        <v>68</v>
      </c>
      <c r="K3" s="6" t="s">
        <v>18</v>
      </c>
      <c r="L3" s="6" t="s">
        <v>69</v>
      </c>
      <c r="M3" s="6" t="s">
        <v>70</v>
      </c>
      <c r="N3" s="13" t="s">
        <v>23</v>
      </c>
      <c r="O3" s="13" t="s">
        <v>29</v>
      </c>
      <c r="P3" s="13" t="s">
        <v>34</v>
      </c>
      <c r="Q3" s="13" t="s">
        <v>39</v>
      </c>
      <c r="R3" s="13" t="s">
        <v>40</v>
      </c>
      <c r="S3" s="13" t="s">
        <v>55</v>
      </c>
    </row>
    <row r="4" customFormat="false" ht="15" hidden="false" customHeight="false" outlineLevel="0" collapsed="false">
      <c r="A4" s="7" t="s">
        <v>71</v>
      </c>
      <c r="B4" s="7" t="s">
        <v>19</v>
      </c>
      <c r="C4" s="7" t="s">
        <v>72</v>
      </c>
      <c r="D4" s="7" t="s">
        <v>21</v>
      </c>
      <c r="E4" s="7" t="s">
        <v>58</v>
      </c>
      <c r="F4" s="7" t="s">
        <v>22</v>
      </c>
      <c r="G4" s="7" t="n">
        <v>20</v>
      </c>
      <c r="H4" s="7" t="n">
        <v>20</v>
      </c>
      <c r="I4" s="7" t="n">
        <v>1</v>
      </c>
      <c r="J4" s="7" t="s">
        <v>73</v>
      </c>
      <c r="K4" s="7" t="s">
        <v>51</v>
      </c>
      <c r="L4" s="7" t="s">
        <v>74</v>
      </c>
      <c r="M4" s="8" t="n">
        <v>0</v>
      </c>
      <c r="N4" s="14" t="s">
        <v>75</v>
      </c>
      <c r="O4" s="7"/>
      <c r="P4" s="7"/>
      <c r="Q4" s="7"/>
      <c r="R4" s="7"/>
      <c r="S4" s="7"/>
    </row>
    <row r="5" customFormat="false" ht="15" hidden="false" customHeight="false" outlineLevel="0" collapsed="false">
      <c r="A5" s="9" t="s">
        <v>76</v>
      </c>
      <c r="B5" s="9" t="s">
        <v>19</v>
      </c>
      <c r="C5" s="9" t="s">
        <v>77</v>
      </c>
      <c r="D5" s="9" t="s">
        <v>21</v>
      </c>
      <c r="E5" s="9" t="s">
        <v>58</v>
      </c>
      <c r="F5" s="9" t="s">
        <v>22</v>
      </c>
      <c r="G5" s="9" t="n">
        <v>20</v>
      </c>
      <c r="H5" s="9" t="n">
        <v>21</v>
      </c>
      <c r="I5" s="9" t="n">
        <v>2</v>
      </c>
      <c r="J5" s="9" t="s">
        <v>73</v>
      </c>
      <c r="K5" s="9" t="s">
        <v>31</v>
      </c>
      <c r="L5" s="9" t="s">
        <v>78</v>
      </c>
      <c r="M5" s="10" t="n">
        <v>0</v>
      </c>
      <c r="N5" s="14" t="s">
        <v>75</v>
      </c>
      <c r="O5" s="9"/>
      <c r="P5" s="9"/>
      <c r="Q5" s="9"/>
      <c r="R5" s="9"/>
      <c r="S5" s="9"/>
    </row>
    <row r="6" customFormat="false" ht="15" hidden="false" customHeight="false" outlineLevel="0" collapsed="false">
      <c r="A6" s="7" t="s">
        <v>79</v>
      </c>
      <c r="B6" s="7" t="s">
        <v>19</v>
      </c>
      <c r="C6" s="7" t="s">
        <v>80</v>
      </c>
      <c r="D6" s="7" t="s">
        <v>21</v>
      </c>
      <c r="E6" s="7" t="s">
        <v>31</v>
      </c>
      <c r="F6" s="7" t="s">
        <v>81</v>
      </c>
      <c r="G6" s="7" t="n">
        <v>20</v>
      </c>
      <c r="H6" s="7" t="n">
        <v>20</v>
      </c>
      <c r="I6" s="7" t="n">
        <v>1</v>
      </c>
      <c r="J6" s="7" t="s">
        <v>73</v>
      </c>
      <c r="K6" s="7" t="s">
        <v>25</v>
      </c>
      <c r="L6" s="7" t="s">
        <v>82</v>
      </c>
      <c r="M6" s="8" t="n">
        <v>0</v>
      </c>
      <c r="N6" s="15" t="s">
        <v>75</v>
      </c>
      <c r="O6" s="7"/>
      <c r="P6" s="7"/>
      <c r="Q6" s="7"/>
      <c r="R6" s="7"/>
      <c r="S6" s="7"/>
    </row>
    <row r="7" customFormat="false" ht="15" hidden="false" customHeight="false" outlineLevel="0" collapsed="false">
      <c r="A7" s="9" t="s">
        <v>83</v>
      </c>
      <c r="B7" s="9" t="s">
        <v>19</v>
      </c>
      <c r="C7" s="9" t="s">
        <v>84</v>
      </c>
      <c r="D7" s="9" t="s">
        <v>21</v>
      </c>
      <c r="E7" s="9" t="s">
        <v>25</v>
      </c>
      <c r="F7" s="9" t="s">
        <v>22</v>
      </c>
      <c r="G7" s="9" t="n">
        <v>20</v>
      </c>
      <c r="H7" s="9" t="n">
        <v>20</v>
      </c>
      <c r="I7" s="9" t="n">
        <v>1</v>
      </c>
      <c r="J7" s="9" t="s">
        <v>73</v>
      </c>
      <c r="K7" s="9" t="s">
        <v>51</v>
      </c>
      <c r="L7" s="9" t="s">
        <v>73</v>
      </c>
      <c r="M7" s="10" t="n">
        <v>0</v>
      </c>
      <c r="N7" s="15" t="s">
        <v>75</v>
      </c>
      <c r="O7" s="9"/>
      <c r="P7" s="9"/>
      <c r="Q7" s="9"/>
      <c r="R7" s="9"/>
      <c r="S7" s="9"/>
    </row>
    <row r="8" customFormat="false" ht="15" hidden="false" customHeight="false" outlineLevel="0" collapsed="false">
      <c r="A8" s="7" t="s">
        <v>85</v>
      </c>
      <c r="B8" s="7" t="s">
        <v>19</v>
      </c>
      <c r="C8" s="7" t="s">
        <v>86</v>
      </c>
      <c r="D8" s="7" t="s">
        <v>21</v>
      </c>
      <c r="E8" s="7" t="s">
        <v>58</v>
      </c>
      <c r="F8" s="7" t="s">
        <v>28</v>
      </c>
      <c r="G8" s="7" t="n">
        <v>21</v>
      </c>
      <c r="H8" s="7" t="n">
        <v>22</v>
      </c>
      <c r="I8" s="7" t="n">
        <v>2</v>
      </c>
      <c r="J8" s="7" t="s">
        <v>76</v>
      </c>
      <c r="K8" s="7" t="s">
        <v>25</v>
      </c>
      <c r="L8" s="7" t="s">
        <v>87</v>
      </c>
      <c r="M8" s="8" t="n">
        <v>0</v>
      </c>
      <c r="N8" s="7"/>
      <c r="O8" s="14" t="s">
        <v>75</v>
      </c>
      <c r="P8" s="7"/>
      <c r="Q8" s="7"/>
      <c r="R8" s="7"/>
      <c r="S8" s="7"/>
    </row>
    <row r="9" customFormat="false" ht="15" hidden="false" customHeight="false" outlineLevel="0" collapsed="false">
      <c r="A9" s="9" t="s">
        <v>88</v>
      </c>
      <c r="B9" s="9" t="s">
        <v>19</v>
      </c>
      <c r="C9" s="9" t="s">
        <v>89</v>
      </c>
      <c r="D9" s="9" t="s">
        <v>21</v>
      </c>
      <c r="E9" s="9" t="s">
        <v>31</v>
      </c>
      <c r="F9" s="9" t="s">
        <v>28</v>
      </c>
      <c r="G9" s="9" t="n">
        <v>22</v>
      </c>
      <c r="H9" s="9" t="n">
        <v>23</v>
      </c>
      <c r="I9" s="9" t="n">
        <v>2</v>
      </c>
      <c r="J9" s="9" t="s">
        <v>85</v>
      </c>
      <c r="K9" s="9" t="s">
        <v>25</v>
      </c>
      <c r="L9" s="9" t="s">
        <v>90</v>
      </c>
      <c r="M9" s="10" t="n">
        <v>0</v>
      </c>
      <c r="N9" s="9"/>
      <c r="O9" s="15" t="s">
        <v>75</v>
      </c>
      <c r="P9" s="9"/>
      <c r="Q9" s="9"/>
      <c r="R9" s="9"/>
      <c r="S9" s="9"/>
    </row>
    <row r="10" customFormat="false" ht="15" hidden="false" customHeight="false" outlineLevel="0" collapsed="false">
      <c r="A10" s="7" t="s">
        <v>91</v>
      </c>
      <c r="B10" s="7" t="s">
        <v>19</v>
      </c>
      <c r="C10" s="7" t="s">
        <v>92</v>
      </c>
      <c r="D10" s="7" t="s">
        <v>21</v>
      </c>
      <c r="E10" s="7" t="s">
        <v>31</v>
      </c>
      <c r="F10" s="7" t="s">
        <v>28</v>
      </c>
      <c r="G10" s="7" t="n">
        <v>22</v>
      </c>
      <c r="H10" s="7" t="n">
        <v>23</v>
      </c>
      <c r="I10" s="7" t="n">
        <v>2</v>
      </c>
      <c r="J10" s="7" t="s">
        <v>85</v>
      </c>
      <c r="K10" s="7" t="s">
        <v>31</v>
      </c>
      <c r="L10" s="7" t="s">
        <v>93</v>
      </c>
      <c r="M10" s="8" t="n">
        <v>0</v>
      </c>
      <c r="N10" s="7"/>
      <c r="O10" s="15" t="s">
        <v>75</v>
      </c>
      <c r="P10" s="7"/>
      <c r="Q10" s="7"/>
      <c r="R10" s="7"/>
      <c r="S10" s="7"/>
    </row>
    <row r="11" customFormat="false" ht="15" hidden="false" customHeight="false" outlineLevel="0" collapsed="false">
      <c r="A11" s="9" t="s">
        <v>94</v>
      </c>
      <c r="B11" s="9" t="s">
        <v>19</v>
      </c>
      <c r="C11" s="9" t="s">
        <v>95</v>
      </c>
      <c r="D11" s="9" t="s">
        <v>21</v>
      </c>
      <c r="E11" s="9" t="s">
        <v>25</v>
      </c>
      <c r="F11" s="9" t="s">
        <v>22</v>
      </c>
      <c r="G11" s="9" t="n">
        <v>21</v>
      </c>
      <c r="H11" s="9" t="n">
        <v>23</v>
      </c>
      <c r="I11" s="9" t="n">
        <v>3</v>
      </c>
      <c r="J11" s="9" t="s">
        <v>71</v>
      </c>
      <c r="K11" s="9" t="s">
        <v>51</v>
      </c>
      <c r="L11" s="9" t="s">
        <v>73</v>
      </c>
      <c r="M11" s="10" t="n">
        <v>0</v>
      </c>
      <c r="N11" s="9"/>
      <c r="O11" s="15" t="s">
        <v>75</v>
      </c>
      <c r="P11" s="9"/>
      <c r="Q11" s="9"/>
      <c r="R11" s="9"/>
      <c r="S11" s="9"/>
    </row>
    <row r="12" customFormat="false" ht="15" hidden="false" customHeight="false" outlineLevel="0" collapsed="false">
      <c r="A12" s="7" t="s">
        <v>96</v>
      </c>
      <c r="B12" s="7" t="s">
        <v>26</v>
      </c>
      <c r="C12" s="7" t="s">
        <v>97</v>
      </c>
      <c r="D12" s="7" t="s">
        <v>21</v>
      </c>
      <c r="E12" s="7" t="s">
        <v>58</v>
      </c>
      <c r="F12" s="7" t="s">
        <v>28</v>
      </c>
      <c r="G12" s="7" t="n">
        <v>22</v>
      </c>
      <c r="H12" s="7" t="n">
        <v>23</v>
      </c>
      <c r="I12" s="7" t="n">
        <v>2</v>
      </c>
      <c r="J12" s="7" t="s">
        <v>71</v>
      </c>
      <c r="K12" s="7" t="s">
        <v>25</v>
      </c>
      <c r="L12" s="7" t="s">
        <v>98</v>
      </c>
      <c r="M12" s="8" t="n">
        <v>0</v>
      </c>
      <c r="N12" s="7"/>
      <c r="O12" s="14" t="s">
        <v>75</v>
      </c>
      <c r="P12" s="7"/>
      <c r="Q12" s="7"/>
      <c r="R12" s="7"/>
      <c r="S12" s="7"/>
    </row>
    <row r="13" customFormat="false" ht="15" hidden="false" customHeight="false" outlineLevel="0" collapsed="false">
      <c r="A13" s="9" t="s">
        <v>99</v>
      </c>
      <c r="B13" s="9" t="s">
        <v>26</v>
      </c>
      <c r="C13" s="9" t="s">
        <v>100</v>
      </c>
      <c r="D13" s="9" t="s">
        <v>21</v>
      </c>
      <c r="E13" s="9" t="s">
        <v>58</v>
      </c>
      <c r="F13" s="9" t="s">
        <v>28</v>
      </c>
      <c r="G13" s="9" t="n">
        <v>23</v>
      </c>
      <c r="H13" s="9" t="n">
        <v>24</v>
      </c>
      <c r="I13" s="9" t="n">
        <v>2</v>
      </c>
      <c r="J13" s="9" t="s">
        <v>96</v>
      </c>
      <c r="K13" s="9" t="s">
        <v>25</v>
      </c>
      <c r="L13" s="9" t="s">
        <v>101</v>
      </c>
      <c r="M13" s="10" t="n">
        <v>0</v>
      </c>
      <c r="N13" s="9"/>
      <c r="O13" s="9"/>
      <c r="P13" s="9"/>
      <c r="Q13" s="9"/>
      <c r="R13" s="9"/>
      <c r="S13" s="9"/>
    </row>
    <row r="14" customFormat="false" ht="15" hidden="false" customHeight="false" outlineLevel="0" collapsed="false">
      <c r="A14" s="7" t="s">
        <v>102</v>
      </c>
      <c r="B14" s="7" t="s">
        <v>26</v>
      </c>
      <c r="C14" s="7" t="s">
        <v>103</v>
      </c>
      <c r="D14" s="7" t="s">
        <v>21</v>
      </c>
      <c r="E14" s="7" t="s">
        <v>31</v>
      </c>
      <c r="F14" s="7" t="s">
        <v>43</v>
      </c>
      <c r="G14" s="7" t="n">
        <v>22</v>
      </c>
      <c r="H14" s="7" t="n">
        <v>26</v>
      </c>
      <c r="I14" s="7" t="n">
        <v>5</v>
      </c>
      <c r="J14" s="7" t="s">
        <v>73</v>
      </c>
      <c r="K14" s="7" t="s">
        <v>25</v>
      </c>
      <c r="L14" s="7" t="s">
        <v>104</v>
      </c>
      <c r="M14" s="8" t="n">
        <v>0</v>
      </c>
      <c r="N14" s="7"/>
      <c r="O14" s="15" t="s">
        <v>75</v>
      </c>
      <c r="P14" s="15" t="s">
        <v>75</v>
      </c>
      <c r="Q14" s="7"/>
      <c r="R14" s="7"/>
      <c r="S14" s="7"/>
    </row>
    <row r="15" customFormat="false" ht="15" hidden="false" customHeight="false" outlineLevel="0" collapsed="false">
      <c r="A15" s="9" t="s">
        <v>105</v>
      </c>
      <c r="B15" s="9" t="s">
        <v>26</v>
      </c>
      <c r="C15" s="9" t="s">
        <v>106</v>
      </c>
      <c r="D15" s="9" t="s">
        <v>21</v>
      </c>
      <c r="E15" s="9" t="s">
        <v>31</v>
      </c>
      <c r="F15" s="9" t="s">
        <v>43</v>
      </c>
      <c r="G15" s="9" t="n">
        <v>24</v>
      </c>
      <c r="H15" s="9" t="n">
        <v>27</v>
      </c>
      <c r="I15" s="9" t="n">
        <v>4</v>
      </c>
      <c r="J15" s="9" t="s">
        <v>102</v>
      </c>
      <c r="K15" s="9" t="s">
        <v>51</v>
      </c>
      <c r="L15" s="9" t="s">
        <v>73</v>
      </c>
      <c r="M15" s="10" t="n">
        <v>0</v>
      </c>
      <c r="N15" s="9"/>
      <c r="O15" s="9"/>
      <c r="P15" s="15" t="s">
        <v>75</v>
      </c>
      <c r="Q15" s="9"/>
      <c r="R15" s="9"/>
      <c r="S15" s="9"/>
    </row>
    <row r="16" customFormat="false" ht="15" hidden="false" customHeight="false" outlineLevel="0" collapsed="false">
      <c r="A16" s="7" t="s">
        <v>107</v>
      </c>
      <c r="B16" s="7" t="s">
        <v>26</v>
      </c>
      <c r="C16" s="7" t="s">
        <v>108</v>
      </c>
      <c r="D16" s="7" t="s">
        <v>21</v>
      </c>
      <c r="E16" s="7" t="s">
        <v>58</v>
      </c>
      <c r="F16" s="7" t="s">
        <v>28</v>
      </c>
      <c r="G16" s="7" t="n">
        <v>24</v>
      </c>
      <c r="H16" s="7" t="n">
        <v>28</v>
      </c>
      <c r="I16" s="7" t="n">
        <v>5</v>
      </c>
      <c r="J16" s="7" t="s">
        <v>88</v>
      </c>
      <c r="K16" s="7" t="s">
        <v>31</v>
      </c>
      <c r="L16" s="7" t="s">
        <v>109</v>
      </c>
      <c r="M16" s="8" t="n">
        <v>0</v>
      </c>
      <c r="N16" s="7"/>
      <c r="O16" s="7"/>
      <c r="P16" s="14" t="s">
        <v>75</v>
      </c>
      <c r="Q16" s="7"/>
      <c r="R16" s="7"/>
      <c r="S16" s="7"/>
    </row>
    <row r="17" customFormat="false" ht="15" hidden="false" customHeight="false" outlineLevel="0" collapsed="false">
      <c r="A17" s="9" t="s">
        <v>110</v>
      </c>
      <c r="B17" s="9" t="s">
        <v>26</v>
      </c>
      <c r="C17" s="9" t="s">
        <v>111</v>
      </c>
      <c r="D17" s="9" t="s">
        <v>21</v>
      </c>
      <c r="E17" s="9" t="s">
        <v>31</v>
      </c>
      <c r="F17" s="9" t="s">
        <v>28</v>
      </c>
      <c r="G17" s="9" t="n">
        <v>25</v>
      </c>
      <c r="H17" s="9" t="n">
        <v>28</v>
      </c>
      <c r="I17" s="9" t="n">
        <v>4</v>
      </c>
      <c r="J17" s="9" t="s">
        <v>102</v>
      </c>
      <c r="K17" s="9" t="s">
        <v>25</v>
      </c>
      <c r="L17" s="9" t="s">
        <v>112</v>
      </c>
      <c r="M17" s="10" t="n">
        <v>0</v>
      </c>
      <c r="N17" s="9"/>
      <c r="O17" s="9"/>
      <c r="P17" s="15" t="s">
        <v>75</v>
      </c>
      <c r="Q17" s="9"/>
      <c r="R17" s="9"/>
      <c r="S17" s="9"/>
    </row>
    <row r="18" customFormat="false" ht="15" hidden="false" customHeight="false" outlineLevel="0" collapsed="false">
      <c r="A18" s="7" t="s">
        <v>113</v>
      </c>
      <c r="B18" s="7" t="s">
        <v>26</v>
      </c>
      <c r="C18" s="7" t="s">
        <v>114</v>
      </c>
      <c r="D18" s="7" t="s">
        <v>21</v>
      </c>
      <c r="E18" s="7" t="s">
        <v>31</v>
      </c>
      <c r="F18" s="7" t="s">
        <v>28</v>
      </c>
      <c r="G18" s="7" t="n">
        <v>24</v>
      </c>
      <c r="H18" s="7" t="n">
        <v>26</v>
      </c>
      <c r="I18" s="7" t="n">
        <v>3</v>
      </c>
      <c r="J18" s="7" t="s">
        <v>99</v>
      </c>
      <c r="K18" s="7" t="s">
        <v>25</v>
      </c>
      <c r="L18" s="7" t="s">
        <v>115</v>
      </c>
      <c r="M18" s="8" t="n">
        <v>0</v>
      </c>
      <c r="N18" s="7"/>
      <c r="O18" s="7"/>
      <c r="P18" s="15" t="s">
        <v>75</v>
      </c>
      <c r="Q18" s="7"/>
      <c r="R18" s="7"/>
      <c r="S18" s="7"/>
    </row>
    <row r="19" customFormat="false" ht="15" hidden="false" customHeight="false" outlineLevel="0" collapsed="false">
      <c r="A19" s="9" t="s">
        <v>116</v>
      </c>
      <c r="B19" s="9" t="s">
        <v>26</v>
      </c>
      <c r="C19" s="9" t="s">
        <v>117</v>
      </c>
      <c r="D19" s="9" t="s">
        <v>21</v>
      </c>
      <c r="E19" s="9" t="s">
        <v>25</v>
      </c>
      <c r="F19" s="9" t="s">
        <v>38</v>
      </c>
      <c r="G19" s="9" t="n">
        <v>24</v>
      </c>
      <c r="H19" s="9" t="n">
        <v>25</v>
      </c>
      <c r="I19" s="9" t="n">
        <v>2</v>
      </c>
      <c r="J19" s="9" t="s">
        <v>118</v>
      </c>
      <c r="K19" s="9" t="s">
        <v>51</v>
      </c>
      <c r="L19" s="9" t="s">
        <v>73</v>
      </c>
      <c r="M19" s="10" t="n">
        <v>0</v>
      </c>
      <c r="N19" s="9"/>
      <c r="O19" s="9"/>
      <c r="P19" s="9"/>
      <c r="Q19" s="9"/>
      <c r="R19" s="9"/>
      <c r="S19" s="9"/>
    </row>
    <row r="20" customFormat="false" ht="15" hidden="false" customHeight="false" outlineLevel="0" collapsed="false">
      <c r="A20" s="7" t="s">
        <v>119</v>
      </c>
      <c r="B20" s="7" t="s">
        <v>26</v>
      </c>
      <c r="C20" s="7" t="s">
        <v>120</v>
      </c>
      <c r="D20" s="7" t="s">
        <v>21</v>
      </c>
      <c r="E20" s="7" t="s">
        <v>58</v>
      </c>
      <c r="F20" s="7" t="s">
        <v>28</v>
      </c>
      <c r="G20" s="7" t="n">
        <v>26</v>
      </c>
      <c r="H20" s="7" t="n">
        <v>28</v>
      </c>
      <c r="I20" s="7" t="n">
        <v>3</v>
      </c>
      <c r="J20" s="7" t="s">
        <v>121</v>
      </c>
      <c r="K20" s="7" t="s">
        <v>31</v>
      </c>
      <c r="L20" s="7" t="s">
        <v>122</v>
      </c>
      <c r="M20" s="8" t="n">
        <v>0</v>
      </c>
      <c r="N20" s="7"/>
      <c r="O20" s="7"/>
      <c r="P20" s="14" t="s">
        <v>75</v>
      </c>
      <c r="Q20" s="7"/>
      <c r="R20" s="7"/>
      <c r="S20" s="7"/>
    </row>
    <row r="21" customFormat="false" ht="15" hidden="false" customHeight="false" outlineLevel="0" collapsed="false">
      <c r="A21" s="9" t="s">
        <v>123</v>
      </c>
      <c r="B21" s="9" t="s">
        <v>26</v>
      </c>
      <c r="C21" s="9" t="s">
        <v>124</v>
      </c>
      <c r="D21" s="9" t="s">
        <v>21</v>
      </c>
      <c r="E21" s="9" t="s">
        <v>31</v>
      </c>
      <c r="F21" s="9" t="s">
        <v>28</v>
      </c>
      <c r="G21" s="9" t="n">
        <v>27</v>
      </c>
      <c r="H21" s="9" t="n">
        <v>28</v>
      </c>
      <c r="I21" s="9" t="n">
        <v>2</v>
      </c>
      <c r="J21" s="9" t="s">
        <v>119</v>
      </c>
      <c r="K21" s="9" t="s">
        <v>25</v>
      </c>
      <c r="L21" s="9" t="s">
        <v>125</v>
      </c>
      <c r="M21" s="10" t="n">
        <v>0</v>
      </c>
      <c r="N21" s="9"/>
      <c r="O21" s="9"/>
      <c r="P21" s="9"/>
      <c r="Q21" s="9"/>
      <c r="R21" s="9"/>
      <c r="S21" s="9"/>
    </row>
    <row r="22" customFormat="false" ht="15" hidden="false" customHeight="false" outlineLevel="0" collapsed="false">
      <c r="A22" s="7" t="s">
        <v>126</v>
      </c>
      <c r="B22" s="7" t="s">
        <v>32</v>
      </c>
      <c r="C22" s="7" t="s">
        <v>127</v>
      </c>
      <c r="D22" s="7" t="s">
        <v>21</v>
      </c>
      <c r="E22" s="7" t="s">
        <v>31</v>
      </c>
      <c r="F22" s="7" t="s">
        <v>28</v>
      </c>
      <c r="G22" s="7" t="n">
        <v>26</v>
      </c>
      <c r="H22" s="7" t="n">
        <v>27</v>
      </c>
      <c r="I22" s="7" t="n">
        <v>2</v>
      </c>
      <c r="J22" s="7" t="s">
        <v>99</v>
      </c>
      <c r="K22" s="7" t="s">
        <v>25</v>
      </c>
      <c r="L22" s="7" t="s">
        <v>128</v>
      </c>
      <c r="M22" s="8" t="n">
        <v>0</v>
      </c>
      <c r="N22" s="7"/>
      <c r="O22" s="7"/>
      <c r="P22" s="15" t="s">
        <v>75</v>
      </c>
      <c r="Q22" s="7"/>
      <c r="R22" s="7"/>
      <c r="S22" s="7"/>
    </row>
    <row r="23" customFormat="false" ht="15" hidden="false" customHeight="false" outlineLevel="0" collapsed="false">
      <c r="A23" s="9" t="s">
        <v>129</v>
      </c>
      <c r="B23" s="9" t="s">
        <v>32</v>
      </c>
      <c r="C23" s="9" t="s">
        <v>130</v>
      </c>
      <c r="D23" s="9" t="s">
        <v>21</v>
      </c>
      <c r="E23" s="9" t="s">
        <v>31</v>
      </c>
      <c r="F23" s="9" t="s">
        <v>38</v>
      </c>
      <c r="G23" s="9" t="n">
        <v>26</v>
      </c>
      <c r="H23" s="9" t="n">
        <v>28</v>
      </c>
      <c r="I23" s="9" t="n">
        <v>3</v>
      </c>
      <c r="J23" s="9" t="s">
        <v>126</v>
      </c>
      <c r="K23" s="9" t="s">
        <v>31</v>
      </c>
      <c r="L23" s="9" t="s">
        <v>131</v>
      </c>
      <c r="M23" s="10" t="n">
        <v>0</v>
      </c>
      <c r="N23" s="9"/>
      <c r="O23" s="9"/>
      <c r="P23" s="15" t="s">
        <v>75</v>
      </c>
      <c r="Q23" s="9"/>
      <c r="R23" s="9"/>
      <c r="S23" s="9"/>
    </row>
    <row r="24" customFormat="false" ht="15" hidden="false" customHeight="false" outlineLevel="0" collapsed="false">
      <c r="A24" s="7" t="s">
        <v>132</v>
      </c>
      <c r="B24" s="7" t="s">
        <v>32</v>
      </c>
      <c r="C24" s="7" t="s">
        <v>133</v>
      </c>
      <c r="D24" s="7" t="s">
        <v>21</v>
      </c>
      <c r="E24" s="7" t="s">
        <v>25</v>
      </c>
      <c r="F24" s="7" t="s">
        <v>38</v>
      </c>
      <c r="G24" s="7" t="n">
        <v>27</v>
      </c>
      <c r="H24" s="7" t="n">
        <v>29</v>
      </c>
      <c r="I24" s="7" t="n">
        <v>3</v>
      </c>
      <c r="J24" s="7" t="s">
        <v>126</v>
      </c>
      <c r="K24" s="7" t="s">
        <v>25</v>
      </c>
      <c r="L24" s="7" t="s">
        <v>134</v>
      </c>
      <c r="M24" s="8" t="n">
        <v>0</v>
      </c>
      <c r="N24" s="7"/>
      <c r="O24" s="7"/>
      <c r="P24" s="7"/>
      <c r="Q24" s="7"/>
      <c r="R24" s="7"/>
      <c r="S24" s="7"/>
    </row>
    <row r="25" customFormat="false" ht="15" hidden="false" customHeight="false" outlineLevel="0" collapsed="false">
      <c r="A25" s="9" t="s">
        <v>135</v>
      </c>
      <c r="B25" s="9" t="s">
        <v>32</v>
      </c>
      <c r="C25" s="9" t="s">
        <v>136</v>
      </c>
      <c r="D25" s="9" t="s">
        <v>21</v>
      </c>
      <c r="E25" s="9" t="s">
        <v>25</v>
      </c>
      <c r="F25" s="9" t="s">
        <v>38</v>
      </c>
      <c r="G25" s="9" t="n">
        <v>27</v>
      </c>
      <c r="H25" s="9" t="n">
        <v>29</v>
      </c>
      <c r="I25" s="9" t="n">
        <v>3</v>
      </c>
      <c r="J25" s="9" t="s">
        <v>126</v>
      </c>
      <c r="K25" s="9" t="s">
        <v>31</v>
      </c>
      <c r="L25" s="9" t="s">
        <v>137</v>
      </c>
      <c r="M25" s="10" t="n">
        <v>0</v>
      </c>
      <c r="N25" s="9"/>
      <c r="O25" s="9"/>
      <c r="P25" s="9"/>
      <c r="Q25" s="9"/>
      <c r="R25" s="9"/>
      <c r="S25" s="9"/>
    </row>
    <row r="26" customFormat="false" ht="15" hidden="false" customHeight="false" outlineLevel="0" collapsed="false">
      <c r="A26" s="7" t="s">
        <v>138</v>
      </c>
      <c r="B26" s="7" t="s">
        <v>32</v>
      </c>
      <c r="C26" s="7" t="s">
        <v>139</v>
      </c>
      <c r="D26" s="7" t="s">
        <v>21</v>
      </c>
      <c r="E26" s="7" t="s">
        <v>31</v>
      </c>
      <c r="F26" s="7" t="s">
        <v>38</v>
      </c>
      <c r="G26" s="7" t="n">
        <v>28</v>
      </c>
      <c r="H26" s="7" t="n">
        <v>30</v>
      </c>
      <c r="I26" s="7" t="n">
        <v>3</v>
      </c>
      <c r="J26" s="7" t="s">
        <v>126</v>
      </c>
      <c r="K26" s="7" t="s">
        <v>31</v>
      </c>
      <c r="L26" s="7" t="s">
        <v>140</v>
      </c>
      <c r="M26" s="8" t="n">
        <v>0</v>
      </c>
      <c r="N26" s="7"/>
      <c r="O26" s="7"/>
      <c r="P26" s="7"/>
      <c r="Q26" s="15" t="s">
        <v>75</v>
      </c>
      <c r="R26" s="7"/>
      <c r="S26" s="7"/>
    </row>
    <row r="27" customFormat="false" ht="15" hidden="false" customHeight="false" outlineLevel="0" collapsed="false">
      <c r="A27" s="9" t="s">
        <v>141</v>
      </c>
      <c r="B27" s="9" t="s">
        <v>32</v>
      </c>
      <c r="C27" s="9" t="s">
        <v>142</v>
      </c>
      <c r="D27" s="9" t="s">
        <v>21</v>
      </c>
      <c r="E27" s="9" t="s">
        <v>58</v>
      </c>
      <c r="F27" s="9" t="s">
        <v>28</v>
      </c>
      <c r="G27" s="9" t="n">
        <v>28</v>
      </c>
      <c r="H27" s="9" t="n">
        <v>31</v>
      </c>
      <c r="I27" s="9" t="n">
        <v>4</v>
      </c>
      <c r="J27" s="9" t="s">
        <v>143</v>
      </c>
      <c r="K27" s="9" t="s">
        <v>31</v>
      </c>
      <c r="L27" s="9" t="s">
        <v>144</v>
      </c>
      <c r="M27" s="10" t="n">
        <v>0</v>
      </c>
      <c r="N27" s="9"/>
      <c r="O27" s="9"/>
      <c r="P27" s="9"/>
      <c r="Q27" s="14" t="s">
        <v>75</v>
      </c>
      <c r="R27" s="9"/>
      <c r="S27" s="9"/>
    </row>
    <row r="28" customFormat="false" ht="15" hidden="false" customHeight="false" outlineLevel="0" collapsed="false">
      <c r="A28" s="7" t="s">
        <v>145</v>
      </c>
      <c r="B28" s="7" t="s">
        <v>32</v>
      </c>
      <c r="C28" s="7" t="s">
        <v>146</v>
      </c>
      <c r="D28" s="7" t="s">
        <v>21</v>
      </c>
      <c r="E28" s="7" t="s">
        <v>58</v>
      </c>
      <c r="F28" s="7" t="s">
        <v>28</v>
      </c>
      <c r="G28" s="7" t="n">
        <v>29</v>
      </c>
      <c r="H28" s="7" t="n">
        <v>31</v>
      </c>
      <c r="I28" s="7" t="n">
        <v>3</v>
      </c>
      <c r="J28" s="7" t="s">
        <v>147</v>
      </c>
      <c r="K28" s="7" t="s">
        <v>31</v>
      </c>
      <c r="L28" s="7" t="s">
        <v>148</v>
      </c>
      <c r="M28" s="8" t="n">
        <v>0</v>
      </c>
      <c r="N28" s="7"/>
      <c r="O28" s="7"/>
      <c r="P28" s="7"/>
      <c r="Q28" s="14" t="s">
        <v>75</v>
      </c>
      <c r="R28" s="7"/>
      <c r="S28" s="7"/>
    </row>
    <row r="29" customFormat="false" ht="15" hidden="false" customHeight="false" outlineLevel="0" collapsed="false">
      <c r="A29" s="9" t="s">
        <v>149</v>
      </c>
      <c r="B29" s="9" t="s">
        <v>32</v>
      </c>
      <c r="C29" s="9" t="s">
        <v>150</v>
      </c>
      <c r="D29" s="9" t="s">
        <v>21</v>
      </c>
      <c r="E29" s="9" t="s">
        <v>25</v>
      </c>
      <c r="F29" s="9" t="s">
        <v>38</v>
      </c>
      <c r="G29" s="9" t="n">
        <v>30</v>
      </c>
      <c r="H29" s="9" t="n">
        <v>31</v>
      </c>
      <c r="I29" s="9" t="n">
        <v>2</v>
      </c>
      <c r="J29" s="9" t="s">
        <v>151</v>
      </c>
      <c r="K29" s="9" t="s">
        <v>51</v>
      </c>
      <c r="L29" s="9" t="s">
        <v>73</v>
      </c>
      <c r="M29" s="10" t="n">
        <v>0</v>
      </c>
      <c r="N29" s="9"/>
      <c r="O29" s="9"/>
      <c r="P29" s="9"/>
      <c r="Q29" s="15" t="s">
        <v>75</v>
      </c>
      <c r="R29" s="9"/>
      <c r="S29" s="9"/>
    </row>
    <row r="30" customFormat="false" ht="15" hidden="false" customHeight="false" outlineLevel="0" collapsed="false">
      <c r="A30" s="7" t="s">
        <v>152</v>
      </c>
      <c r="B30" s="7" t="s">
        <v>36</v>
      </c>
      <c r="C30" s="7" t="s">
        <v>153</v>
      </c>
      <c r="D30" s="7" t="s">
        <v>21</v>
      </c>
      <c r="E30" s="7" t="s">
        <v>58</v>
      </c>
      <c r="F30" s="7" t="s">
        <v>28</v>
      </c>
      <c r="G30" s="7" t="n">
        <v>30</v>
      </c>
      <c r="H30" s="7" t="n">
        <v>33</v>
      </c>
      <c r="I30" s="7" t="n">
        <v>4</v>
      </c>
      <c r="J30" s="7" t="s">
        <v>154</v>
      </c>
      <c r="K30" s="7" t="s">
        <v>31</v>
      </c>
      <c r="L30" s="7" t="s">
        <v>155</v>
      </c>
      <c r="M30" s="8" t="n">
        <v>0</v>
      </c>
      <c r="N30" s="7"/>
      <c r="O30" s="7"/>
      <c r="P30" s="7"/>
      <c r="Q30" s="14" t="s">
        <v>75</v>
      </c>
      <c r="R30" s="7"/>
      <c r="S30" s="7"/>
    </row>
    <row r="31" customFormat="false" ht="15" hidden="false" customHeight="false" outlineLevel="0" collapsed="false">
      <c r="A31" s="9" t="s">
        <v>156</v>
      </c>
      <c r="B31" s="9" t="s">
        <v>36</v>
      </c>
      <c r="C31" s="9" t="s">
        <v>157</v>
      </c>
      <c r="D31" s="9" t="s">
        <v>21</v>
      </c>
      <c r="E31" s="9" t="s">
        <v>31</v>
      </c>
      <c r="F31" s="9" t="s">
        <v>28</v>
      </c>
      <c r="G31" s="9" t="n">
        <v>31</v>
      </c>
      <c r="H31" s="9" t="n">
        <v>33</v>
      </c>
      <c r="I31" s="9" t="n">
        <v>3</v>
      </c>
      <c r="J31" s="9" t="s">
        <v>141</v>
      </c>
      <c r="K31" s="9" t="s">
        <v>25</v>
      </c>
      <c r="L31" s="9" t="s">
        <v>158</v>
      </c>
      <c r="M31" s="10" t="n">
        <v>0</v>
      </c>
      <c r="N31" s="9"/>
      <c r="O31" s="9"/>
      <c r="P31" s="9"/>
      <c r="Q31" s="9"/>
      <c r="R31" s="9"/>
      <c r="S31" s="9"/>
    </row>
    <row r="32" customFormat="false" ht="15" hidden="false" customHeight="false" outlineLevel="0" collapsed="false">
      <c r="A32" s="7" t="s">
        <v>159</v>
      </c>
      <c r="B32" s="7" t="s">
        <v>36</v>
      </c>
      <c r="C32" s="7" t="s">
        <v>160</v>
      </c>
      <c r="D32" s="7" t="s">
        <v>21</v>
      </c>
      <c r="E32" s="7" t="s">
        <v>25</v>
      </c>
      <c r="F32" s="7" t="s">
        <v>38</v>
      </c>
      <c r="G32" s="7" t="n">
        <v>32</v>
      </c>
      <c r="H32" s="7" t="n">
        <v>34</v>
      </c>
      <c r="I32" s="7" t="n">
        <v>3</v>
      </c>
      <c r="J32" s="7" t="s">
        <v>152</v>
      </c>
      <c r="K32" s="7" t="s">
        <v>51</v>
      </c>
      <c r="L32" s="7" t="s">
        <v>73</v>
      </c>
      <c r="M32" s="8" t="n">
        <v>0</v>
      </c>
      <c r="N32" s="7"/>
      <c r="O32" s="7"/>
      <c r="P32" s="7"/>
      <c r="Q32" s="7"/>
      <c r="R32" s="7"/>
      <c r="S32" s="7"/>
    </row>
    <row r="33" customFormat="false" ht="15" hidden="false" customHeight="false" outlineLevel="0" collapsed="false">
      <c r="A33" s="9" t="s">
        <v>161</v>
      </c>
      <c r="B33" s="9" t="s">
        <v>36</v>
      </c>
      <c r="C33" s="9" t="s">
        <v>162</v>
      </c>
      <c r="D33" s="9" t="s">
        <v>21</v>
      </c>
      <c r="E33" s="9" t="s">
        <v>31</v>
      </c>
      <c r="F33" s="9" t="s">
        <v>28</v>
      </c>
      <c r="G33" s="9" t="n">
        <v>31</v>
      </c>
      <c r="H33" s="9" t="n">
        <v>34</v>
      </c>
      <c r="I33" s="9" t="n">
        <v>4</v>
      </c>
      <c r="J33" s="9" t="s">
        <v>163</v>
      </c>
      <c r="K33" s="9" t="s">
        <v>31</v>
      </c>
      <c r="L33" s="9" t="s">
        <v>164</v>
      </c>
      <c r="M33" s="10" t="n">
        <v>0</v>
      </c>
      <c r="N33" s="9"/>
      <c r="O33" s="9"/>
      <c r="P33" s="9"/>
      <c r="Q33" s="9"/>
      <c r="R33" s="9"/>
      <c r="S33" s="9"/>
    </row>
    <row r="34" customFormat="false" ht="15" hidden="false" customHeight="false" outlineLevel="0" collapsed="false">
      <c r="A34" s="7" t="s">
        <v>165</v>
      </c>
      <c r="B34" s="7" t="s">
        <v>36</v>
      </c>
      <c r="C34" s="7" t="s">
        <v>166</v>
      </c>
      <c r="D34" s="7" t="s">
        <v>21</v>
      </c>
      <c r="E34" s="7" t="s">
        <v>25</v>
      </c>
      <c r="F34" s="7" t="s">
        <v>38</v>
      </c>
      <c r="G34" s="7" t="n">
        <v>33</v>
      </c>
      <c r="H34" s="7" t="n">
        <v>35</v>
      </c>
      <c r="I34" s="7" t="n">
        <v>3</v>
      </c>
      <c r="J34" s="7" t="s">
        <v>156</v>
      </c>
      <c r="K34" s="7" t="s">
        <v>51</v>
      </c>
      <c r="L34" s="7" t="s">
        <v>73</v>
      </c>
      <c r="M34" s="8" t="n">
        <v>0</v>
      </c>
      <c r="N34" s="7"/>
      <c r="O34" s="7"/>
      <c r="P34" s="7"/>
      <c r="Q34" s="7"/>
      <c r="R34" s="15" t="s">
        <v>75</v>
      </c>
      <c r="S34" s="7"/>
    </row>
    <row r="35" customFormat="false" ht="15" hidden="false" customHeight="false" outlineLevel="0" collapsed="false">
      <c r="A35" s="9" t="s">
        <v>167</v>
      </c>
      <c r="B35" s="9" t="s">
        <v>36</v>
      </c>
      <c r="C35" s="9" t="s">
        <v>168</v>
      </c>
      <c r="D35" s="9" t="s">
        <v>21</v>
      </c>
      <c r="E35" s="9" t="s">
        <v>31</v>
      </c>
      <c r="F35" s="9" t="s">
        <v>28</v>
      </c>
      <c r="G35" s="9" t="n">
        <v>32</v>
      </c>
      <c r="H35" s="9" t="n">
        <v>34</v>
      </c>
      <c r="I35" s="9" t="n">
        <v>3</v>
      </c>
      <c r="J35" s="9" t="s">
        <v>152</v>
      </c>
      <c r="K35" s="9" t="s">
        <v>25</v>
      </c>
      <c r="L35" s="9" t="s">
        <v>169</v>
      </c>
      <c r="M35" s="10" t="n">
        <v>0</v>
      </c>
      <c r="N35" s="9"/>
      <c r="O35" s="9"/>
      <c r="P35" s="9"/>
      <c r="Q35" s="9"/>
      <c r="R35" s="9"/>
      <c r="S35" s="9"/>
    </row>
    <row r="36" customFormat="false" ht="15" hidden="false" customHeight="false" outlineLevel="0" collapsed="false">
      <c r="A36" s="7" t="s">
        <v>170</v>
      </c>
      <c r="B36" s="7" t="s">
        <v>36</v>
      </c>
      <c r="C36" s="7" t="s">
        <v>171</v>
      </c>
      <c r="D36" s="7" t="s">
        <v>21</v>
      </c>
      <c r="E36" s="7" t="s">
        <v>25</v>
      </c>
      <c r="F36" s="7" t="s">
        <v>22</v>
      </c>
      <c r="G36" s="7" t="n">
        <v>33</v>
      </c>
      <c r="H36" s="7" t="n">
        <v>35</v>
      </c>
      <c r="I36" s="7" t="n">
        <v>3</v>
      </c>
      <c r="J36" s="7" t="s">
        <v>152</v>
      </c>
      <c r="K36" s="7" t="s">
        <v>51</v>
      </c>
      <c r="L36" s="7" t="s">
        <v>73</v>
      </c>
      <c r="M36" s="8" t="n">
        <v>0</v>
      </c>
      <c r="N36" s="7"/>
      <c r="O36" s="7"/>
      <c r="P36" s="7"/>
      <c r="Q36" s="7"/>
      <c r="R36" s="15" t="s">
        <v>75</v>
      </c>
      <c r="S36" s="7"/>
    </row>
    <row r="37" customFormat="false" ht="15" hidden="false" customHeight="false" outlineLevel="0" collapsed="false">
      <c r="A37" s="9" t="s">
        <v>172</v>
      </c>
      <c r="B37" s="9" t="s">
        <v>41</v>
      </c>
      <c r="C37" s="9" t="s">
        <v>173</v>
      </c>
      <c r="D37" s="9" t="s">
        <v>21</v>
      </c>
      <c r="E37" s="9" t="s">
        <v>31</v>
      </c>
      <c r="F37" s="9" t="s">
        <v>43</v>
      </c>
      <c r="G37" s="9" t="n">
        <v>24</v>
      </c>
      <c r="H37" s="9" t="n">
        <v>28</v>
      </c>
      <c r="I37" s="9" t="n">
        <v>5</v>
      </c>
      <c r="J37" s="9" t="s">
        <v>73</v>
      </c>
      <c r="K37" s="9" t="s">
        <v>25</v>
      </c>
      <c r="L37" s="9" t="s">
        <v>174</v>
      </c>
      <c r="M37" s="10" t="n">
        <v>0</v>
      </c>
      <c r="N37" s="9"/>
      <c r="O37" s="9"/>
      <c r="P37" s="15" t="s">
        <v>75</v>
      </c>
      <c r="Q37" s="9"/>
      <c r="R37" s="9"/>
      <c r="S37" s="9"/>
    </row>
    <row r="38" customFormat="false" ht="15" hidden="false" customHeight="false" outlineLevel="0" collapsed="false">
      <c r="A38" s="7" t="s">
        <v>175</v>
      </c>
      <c r="B38" s="7" t="s">
        <v>41</v>
      </c>
      <c r="C38" s="7" t="s">
        <v>176</v>
      </c>
      <c r="D38" s="7" t="s">
        <v>21</v>
      </c>
      <c r="E38" s="7" t="s">
        <v>25</v>
      </c>
      <c r="F38" s="7" t="s">
        <v>43</v>
      </c>
      <c r="G38" s="7" t="n">
        <v>26</v>
      </c>
      <c r="H38" s="7" t="n">
        <v>29</v>
      </c>
      <c r="I38" s="7" t="n">
        <v>4</v>
      </c>
      <c r="J38" s="7" t="s">
        <v>73</v>
      </c>
      <c r="K38" s="7" t="s">
        <v>51</v>
      </c>
      <c r="L38" s="7" t="s">
        <v>73</v>
      </c>
      <c r="M38" s="8" t="n">
        <v>0</v>
      </c>
      <c r="N38" s="7"/>
      <c r="O38" s="7"/>
      <c r="P38" s="15" t="s">
        <v>75</v>
      </c>
      <c r="Q38" s="7"/>
      <c r="R38" s="7"/>
      <c r="S38" s="7"/>
    </row>
    <row r="39" customFormat="false" ht="15" hidden="false" customHeight="false" outlineLevel="0" collapsed="false">
      <c r="A39" s="9" t="s">
        <v>177</v>
      </c>
      <c r="B39" s="9" t="s">
        <v>41</v>
      </c>
      <c r="C39" s="9" t="s">
        <v>178</v>
      </c>
      <c r="D39" s="9" t="s">
        <v>21</v>
      </c>
      <c r="E39" s="9" t="s">
        <v>31</v>
      </c>
      <c r="F39" s="9" t="s">
        <v>43</v>
      </c>
      <c r="G39" s="9" t="n">
        <v>27</v>
      </c>
      <c r="H39" s="9" t="n">
        <v>31</v>
      </c>
      <c r="I39" s="9" t="n">
        <v>5</v>
      </c>
      <c r="J39" s="9" t="s">
        <v>73</v>
      </c>
      <c r="K39" s="9" t="s">
        <v>25</v>
      </c>
      <c r="L39" s="9" t="s">
        <v>179</v>
      </c>
      <c r="M39" s="10" t="n">
        <v>0</v>
      </c>
      <c r="N39" s="9"/>
      <c r="O39" s="9"/>
      <c r="P39" s="9"/>
      <c r="Q39" s="15" t="s">
        <v>75</v>
      </c>
      <c r="R39" s="9"/>
      <c r="S39" s="9"/>
    </row>
    <row r="40" customFormat="false" ht="15" hidden="false" customHeight="false" outlineLevel="0" collapsed="false">
      <c r="A40" s="7" t="s">
        <v>180</v>
      </c>
      <c r="B40" s="7" t="s">
        <v>41</v>
      </c>
      <c r="C40" s="7" t="s">
        <v>181</v>
      </c>
      <c r="D40" s="7" t="s">
        <v>21</v>
      </c>
      <c r="E40" s="7" t="s">
        <v>25</v>
      </c>
      <c r="F40" s="7" t="s">
        <v>43</v>
      </c>
      <c r="G40" s="7" t="n">
        <v>28</v>
      </c>
      <c r="H40" s="7" t="n">
        <v>31</v>
      </c>
      <c r="I40" s="7" t="n">
        <v>4</v>
      </c>
      <c r="J40" s="7" t="s">
        <v>175</v>
      </c>
      <c r="K40" s="7" t="s">
        <v>51</v>
      </c>
      <c r="L40" s="7" t="s">
        <v>73</v>
      </c>
      <c r="M40" s="8" t="n">
        <v>0</v>
      </c>
      <c r="N40" s="7"/>
      <c r="O40" s="7"/>
      <c r="P40" s="7"/>
      <c r="Q40" s="15" t="s">
        <v>75</v>
      </c>
      <c r="R40" s="7"/>
      <c r="S40" s="7"/>
    </row>
    <row r="41" customFormat="false" ht="15" hidden="false" customHeight="false" outlineLevel="0" collapsed="false">
      <c r="A41" s="9" t="s">
        <v>182</v>
      </c>
      <c r="B41" s="9" t="s">
        <v>41</v>
      </c>
      <c r="C41" s="9" t="s">
        <v>183</v>
      </c>
      <c r="D41" s="9" t="s">
        <v>21</v>
      </c>
      <c r="E41" s="9" t="s">
        <v>31</v>
      </c>
      <c r="F41" s="9" t="s">
        <v>28</v>
      </c>
      <c r="G41" s="9" t="n">
        <v>29</v>
      </c>
      <c r="H41" s="9" t="n">
        <v>33</v>
      </c>
      <c r="I41" s="9" t="n">
        <v>5</v>
      </c>
      <c r="J41" s="9" t="s">
        <v>184</v>
      </c>
      <c r="K41" s="9" t="s">
        <v>25</v>
      </c>
      <c r="L41" s="9" t="s">
        <v>185</v>
      </c>
      <c r="M41" s="10" t="n">
        <v>0</v>
      </c>
      <c r="N41" s="9"/>
      <c r="O41" s="9"/>
      <c r="P41" s="9"/>
      <c r="Q41" s="15" t="s">
        <v>75</v>
      </c>
      <c r="R41" s="9"/>
      <c r="S41" s="9"/>
    </row>
    <row r="42" customFormat="false" ht="15" hidden="false" customHeight="false" outlineLevel="0" collapsed="false">
      <c r="A42" s="7" t="s">
        <v>186</v>
      </c>
      <c r="B42" s="7" t="s">
        <v>41</v>
      </c>
      <c r="C42" s="7" t="s">
        <v>187</v>
      </c>
      <c r="D42" s="7" t="s">
        <v>21</v>
      </c>
      <c r="E42" s="7" t="s">
        <v>25</v>
      </c>
      <c r="F42" s="7" t="s">
        <v>43</v>
      </c>
      <c r="G42" s="7" t="n">
        <v>30</v>
      </c>
      <c r="H42" s="7" t="n">
        <v>34</v>
      </c>
      <c r="I42" s="7" t="n">
        <v>5</v>
      </c>
      <c r="J42" s="7" t="s">
        <v>138</v>
      </c>
      <c r="K42" s="7" t="s">
        <v>25</v>
      </c>
      <c r="L42" s="7" t="s">
        <v>188</v>
      </c>
      <c r="M42" s="8" t="n">
        <v>0</v>
      </c>
      <c r="N42" s="7"/>
      <c r="O42" s="7"/>
      <c r="P42" s="7"/>
      <c r="Q42" s="15" t="s">
        <v>75</v>
      </c>
      <c r="R42" s="7"/>
      <c r="S42" s="7"/>
    </row>
    <row r="43" customFormat="false" ht="15" hidden="false" customHeight="false" outlineLevel="0" collapsed="false">
      <c r="A43" s="9" t="s">
        <v>189</v>
      </c>
      <c r="B43" s="9" t="s">
        <v>46</v>
      </c>
      <c r="C43" s="9" t="s">
        <v>190</v>
      </c>
      <c r="D43" s="9" t="s">
        <v>21</v>
      </c>
      <c r="E43" s="9" t="s">
        <v>31</v>
      </c>
      <c r="F43" s="9" t="s">
        <v>48</v>
      </c>
      <c r="G43" s="9" t="n">
        <v>33</v>
      </c>
      <c r="H43" s="9" t="n">
        <v>34</v>
      </c>
      <c r="I43" s="9" t="n">
        <v>2</v>
      </c>
      <c r="J43" s="9" t="s">
        <v>191</v>
      </c>
      <c r="K43" s="9" t="s">
        <v>51</v>
      </c>
      <c r="L43" s="9" t="s">
        <v>73</v>
      </c>
      <c r="M43" s="10" t="n">
        <v>0</v>
      </c>
      <c r="N43" s="9"/>
      <c r="O43" s="9"/>
      <c r="P43" s="9"/>
      <c r="Q43" s="9"/>
      <c r="R43" s="9"/>
      <c r="S43" s="9"/>
    </row>
    <row r="44" customFormat="false" ht="15" hidden="false" customHeight="false" outlineLevel="0" collapsed="false">
      <c r="A44" s="7" t="s">
        <v>192</v>
      </c>
      <c r="B44" s="7" t="s">
        <v>46</v>
      </c>
      <c r="C44" s="7" t="s">
        <v>193</v>
      </c>
      <c r="D44" s="7" t="s">
        <v>21</v>
      </c>
      <c r="E44" s="7" t="s">
        <v>58</v>
      </c>
      <c r="F44" s="7" t="s">
        <v>48</v>
      </c>
      <c r="G44" s="7" t="n">
        <v>34</v>
      </c>
      <c r="H44" s="7" t="n">
        <v>35</v>
      </c>
      <c r="I44" s="7" t="n">
        <v>2</v>
      </c>
      <c r="J44" s="7" t="s">
        <v>194</v>
      </c>
      <c r="K44" s="7" t="s">
        <v>31</v>
      </c>
      <c r="L44" s="7" t="s">
        <v>195</v>
      </c>
      <c r="M44" s="8" t="n">
        <v>0</v>
      </c>
      <c r="N44" s="7"/>
      <c r="O44" s="7"/>
      <c r="P44" s="7"/>
      <c r="Q44" s="7"/>
      <c r="R44" s="14" t="s">
        <v>75</v>
      </c>
      <c r="S44" s="7"/>
    </row>
    <row r="45" customFormat="false" ht="15" hidden="false" customHeight="false" outlineLevel="0" collapsed="false">
      <c r="A45" s="9" t="s">
        <v>196</v>
      </c>
      <c r="B45" s="9" t="s">
        <v>46</v>
      </c>
      <c r="C45" s="9" t="s">
        <v>197</v>
      </c>
      <c r="D45" s="9" t="s">
        <v>21</v>
      </c>
      <c r="E45" s="9" t="s">
        <v>31</v>
      </c>
      <c r="F45" s="9" t="s">
        <v>28</v>
      </c>
      <c r="G45" s="9" t="n">
        <v>34</v>
      </c>
      <c r="H45" s="9" t="n">
        <v>36</v>
      </c>
      <c r="I45" s="9" t="n">
        <v>3</v>
      </c>
      <c r="J45" s="9" t="s">
        <v>156</v>
      </c>
      <c r="K45" s="9" t="s">
        <v>25</v>
      </c>
      <c r="L45" s="9" t="s">
        <v>198</v>
      </c>
      <c r="M45" s="10" t="n">
        <v>0</v>
      </c>
      <c r="N45" s="9"/>
      <c r="O45" s="9"/>
      <c r="P45" s="9"/>
      <c r="Q45" s="9"/>
      <c r="R45" s="15" t="s">
        <v>75</v>
      </c>
      <c r="S45" s="9"/>
    </row>
    <row r="46" customFormat="false" ht="15" hidden="false" customHeight="false" outlineLevel="0" collapsed="false">
      <c r="A46" s="7" t="s">
        <v>199</v>
      </c>
      <c r="B46" s="7" t="s">
        <v>46</v>
      </c>
      <c r="C46" s="7" t="s">
        <v>200</v>
      </c>
      <c r="D46" s="7" t="s">
        <v>21</v>
      </c>
      <c r="E46" s="7" t="s">
        <v>25</v>
      </c>
      <c r="F46" s="7" t="s">
        <v>48</v>
      </c>
      <c r="G46" s="7" t="n">
        <v>35</v>
      </c>
      <c r="H46" s="7" t="n">
        <v>36</v>
      </c>
      <c r="I46" s="7" t="n">
        <v>2</v>
      </c>
      <c r="J46" s="7" t="s">
        <v>192</v>
      </c>
      <c r="K46" s="7" t="s">
        <v>25</v>
      </c>
      <c r="L46" s="7" t="s">
        <v>201</v>
      </c>
      <c r="M46" s="8" t="n">
        <v>0</v>
      </c>
      <c r="N46" s="7"/>
      <c r="O46" s="7"/>
      <c r="P46" s="7"/>
      <c r="Q46" s="7"/>
      <c r="R46" s="15" t="s">
        <v>75</v>
      </c>
      <c r="S46" s="7"/>
    </row>
    <row r="47" customFormat="false" ht="15" hidden="false" customHeight="false" outlineLevel="0" collapsed="false">
      <c r="A47" s="9" t="s">
        <v>202</v>
      </c>
      <c r="B47" s="9" t="s">
        <v>46</v>
      </c>
      <c r="C47" s="9" t="s">
        <v>203</v>
      </c>
      <c r="D47" s="9" t="s">
        <v>21</v>
      </c>
      <c r="E47" s="9" t="s">
        <v>58</v>
      </c>
      <c r="F47" s="9" t="s">
        <v>22</v>
      </c>
      <c r="G47" s="9" t="n">
        <v>35</v>
      </c>
      <c r="H47" s="9" t="n">
        <v>36</v>
      </c>
      <c r="I47" s="9" t="n">
        <v>2</v>
      </c>
      <c r="J47" s="9" t="s">
        <v>152</v>
      </c>
      <c r="K47" s="9" t="s">
        <v>31</v>
      </c>
      <c r="L47" s="9" t="s">
        <v>204</v>
      </c>
      <c r="M47" s="10" t="n">
        <v>0</v>
      </c>
      <c r="N47" s="9"/>
      <c r="O47" s="9"/>
      <c r="P47" s="9"/>
      <c r="Q47" s="9"/>
      <c r="R47" s="14" t="s">
        <v>75</v>
      </c>
      <c r="S47" s="9"/>
    </row>
    <row r="48" customFormat="false" ht="15" hidden="false" customHeight="false" outlineLevel="0" collapsed="false">
      <c r="A48" s="7" t="s">
        <v>205</v>
      </c>
      <c r="B48" s="7" t="s">
        <v>46</v>
      </c>
      <c r="C48" s="7" t="s">
        <v>206</v>
      </c>
      <c r="D48" s="7" t="s">
        <v>21</v>
      </c>
      <c r="E48" s="7" t="s">
        <v>31</v>
      </c>
      <c r="F48" s="7" t="s">
        <v>81</v>
      </c>
      <c r="G48" s="7" t="n">
        <v>36</v>
      </c>
      <c r="H48" s="7" t="n">
        <v>37</v>
      </c>
      <c r="I48" s="7" t="n">
        <v>2</v>
      </c>
      <c r="J48" s="7" t="s">
        <v>207</v>
      </c>
      <c r="K48" s="7" t="s">
        <v>25</v>
      </c>
      <c r="L48" s="7" t="s">
        <v>208</v>
      </c>
      <c r="M48" s="8" t="n">
        <v>0</v>
      </c>
      <c r="N48" s="7"/>
      <c r="O48" s="7"/>
      <c r="P48" s="7"/>
      <c r="Q48" s="7"/>
      <c r="R48" s="7"/>
      <c r="S48" s="7"/>
    </row>
    <row r="49" customFormat="false" ht="15" hidden="false" customHeight="false" outlineLevel="0" collapsed="false">
      <c r="A49" s="9" t="s">
        <v>209</v>
      </c>
      <c r="B49" s="9" t="s">
        <v>52</v>
      </c>
      <c r="C49" s="9" t="s">
        <v>210</v>
      </c>
      <c r="D49" s="9" t="s">
        <v>21</v>
      </c>
      <c r="E49" s="9" t="s">
        <v>58</v>
      </c>
      <c r="F49" s="9" t="s">
        <v>22</v>
      </c>
      <c r="G49" s="9" t="n">
        <v>36</v>
      </c>
      <c r="H49" s="9" t="n">
        <v>37</v>
      </c>
      <c r="I49" s="9" t="n">
        <v>2</v>
      </c>
      <c r="J49" s="9" t="s">
        <v>202</v>
      </c>
      <c r="K49" s="9" t="s">
        <v>31</v>
      </c>
      <c r="L49" s="9" t="s">
        <v>211</v>
      </c>
      <c r="M49" s="10" t="n">
        <v>0</v>
      </c>
      <c r="N49" s="9"/>
      <c r="O49" s="9"/>
      <c r="P49" s="9"/>
      <c r="Q49" s="9"/>
      <c r="R49" s="9"/>
      <c r="S49" s="9"/>
    </row>
    <row r="50" customFormat="false" ht="15" hidden="false" customHeight="false" outlineLevel="0" collapsed="false">
      <c r="A50" s="7" t="s">
        <v>212</v>
      </c>
      <c r="B50" s="7" t="s">
        <v>52</v>
      </c>
      <c r="C50" s="7" t="s">
        <v>213</v>
      </c>
      <c r="D50" s="7" t="s">
        <v>21</v>
      </c>
      <c r="E50" s="7" t="s">
        <v>58</v>
      </c>
      <c r="F50" s="7" t="s">
        <v>22</v>
      </c>
      <c r="G50" s="7" t="n">
        <v>37</v>
      </c>
      <c r="H50" s="7" t="n">
        <v>38</v>
      </c>
      <c r="I50" s="7" t="n">
        <v>2</v>
      </c>
      <c r="J50" s="7" t="s">
        <v>209</v>
      </c>
      <c r="K50" s="7" t="s">
        <v>25</v>
      </c>
      <c r="L50" s="7" t="s">
        <v>214</v>
      </c>
      <c r="M50" s="8" t="n">
        <v>0</v>
      </c>
      <c r="N50" s="7"/>
      <c r="O50" s="7"/>
      <c r="P50" s="7"/>
      <c r="Q50" s="7"/>
      <c r="R50" s="7"/>
      <c r="S50" s="7"/>
    </row>
    <row r="51" customFormat="false" ht="15" hidden="false" customHeight="false" outlineLevel="0" collapsed="false">
      <c r="A51" s="9" t="s">
        <v>215</v>
      </c>
      <c r="B51" s="9" t="s">
        <v>52</v>
      </c>
      <c r="C51" s="9" t="s">
        <v>216</v>
      </c>
      <c r="D51" s="9" t="s">
        <v>21</v>
      </c>
      <c r="E51" s="9" t="s">
        <v>31</v>
      </c>
      <c r="F51" s="9" t="s">
        <v>22</v>
      </c>
      <c r="G51" s="9" t="n">
        <v>37</v>
      </c>
      <c r="H51" s="9" t="n">
        <v>39</v>
      </c>
      <c r="I51" s="9" t="n">
        <v>3</v>
      </c>
      <c r="J51" s="9" t="s">
        <v>209</v>
      </c>
      <c r="K51" s="9" t="s">
        <v>51</v>
      </c>
      <c r="L51" s="9" t="s">
        <v>73</v>
      </c>
      <c r="M51" s="10" t="n">
        <v>0</v>
      </c>
      <c r="N51" s="9"/>
      <c r="O51" s="9"/>
      <c r="P51" s="9"/>
      <c r="Q51" s="9"/>
      <c r="R51" s="9"/>
      <c r="S51" s="9"/>
    </row>
    <row r="52" customFormat="false" ht="15" hidden="false" customHeight="false" outlineLevel="0" collapsed="false">
      <c r="A52" s="7" t="s">
        <v>217</v>
      </c>
      <c r="B52" s="7" t="s">
        <v>52</v>
      </c>
      <c r="C52" s="7" t="s">
        <v>218</v>
      </c>
      <c r="D52" s="7" t="s">
        <v>21</v>
      </c>
      <c r="E52" s="7" t="s">
        <v>25</v>
      </c>
      <c r="F52" s="7" t="s">
        <v>22</v>
      </c>
      <c r="G52" s="7" t="n">
        <v>38</v>
      </c>
      <c r="H52" s="7" t="n">
        <v>39</v>
      </c>
      <c r="I52" s="7" t="n">
        <v>2</v>
      </c>
      <c r="J52" s="7" t="s">
        <v>215</v>
      </c>
      <c r="K52" s="7" t="s">
        <v>51</v>
      </c>
      <c r="L52" s="7" t="s">
        <v>73</v>
      </c>
      <c r="M52" s="8" t="n">
        <v>0</v>
      </c>
      <c r="N52" s="7"/>
      <c r="O52" s="7"/>
      <c r="P52" s="7"/>
      <c r="Q52" s="7"/>
      <c r="R52" s="7"/>
      <c r="S52" s="7"/>
    </row>
    <row r="53" customFormat="false" ht="15" hidden="false" customHeight="false" outlineLevel="0" collapsed="false">
      <c r="A53" s="9" t="s">
        <v>219</v>
      </c>
      <c r="B53" s="9" t="s">
        <v>52</v>
      </c>
      <c r="C53" s="9" t="s">
        <v>220</v>
      </c>
      <c r="D53" s="9" t="s">
        <v>21</v>
      </c>
      <c r="E53" s="9" t="s">
        <v>25</v>
      </c>
      <c r="F53" s="9" t="s">
        <v>221</v>
      </c>
      <c r="G53" s="9" t="n">
        <v>38</v>
      </c>
      <c r="H53" s="9" t="n">
        <v>40</v>
      </c>
      <c r="I53" s="9" t="n">
        <v>3</v>
      </c>
      <c r="J53" s="9" t="s">
        <v>212</v>
      </c>
      <c r="K53" s="9" t="s">
        <v>51</v>
      </c>
      <c r="L53" s="9" t="s">
        <v>73</v>
      </c>
      <c r="M53" s="10" t="n">
        <v>0</v>
      </c>
      <c r="N53" s="9"/>
      <c r="O53" s="9"/>
      <c r="P53" s="9"/>
      <c r="Q53" s="9"/>
      <c r="R53" s="9"/>
      <c r="S53" s="15" t="s">
        <v>75</v>
      </c>
    </row>
    <row r="56" customFormat="false" ht="17.35" hidden="false" customHeight="false" outlineLevel="0" collapsed="false">
      <c r="R56" s="16" t="s">
        <v>222</v>
      </c>
      <c r="S56" s="17" t="n">
        <f aca="false">AVERAGE(M4:M53)</f>
        <v>0</v>
      </c>
    </row>
  </sheetData>
  <autoFilter ref="A3:S53"/>
  <mergeCells count="2">
    <mergeCell ref="A1:S1"/>
    <mergeCell ref="A2:S2"/>
  </mergeCells>
  <dataValidations count="2">
    <dataValidation allowBlank="true" error="Bitte wählen Sie einen gültigen Status" errorStyle="stop" operator="between" showDropDown="false" showErrorMessage="false" showInputMessage="false" sqref="D4:D55" type="list">
      <formula1>"Offen,In Arbeit,Erledigt,Blockiert,Review"</formula1>
      <formula2>0</formula2>
    </dataValidation>
    <dataValidation allowBlank="true" errorStyle="stop" operator="between" showDropDown="false" showErrorMessage="false" showInputMessage="false" sqref="E4:E55" type="list">
      <formula1>"Kritisch,Hoch,Mittel,Niedrig"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35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223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6" t="s">
        <v>227</v>
      </c>
      <c r="E2" s="6" t="s">
        <v>57</v>
      </c>
      <c r="F2" s="6" t="s">
        <v>15</v>
      </c>
      <c r="G2" s="6" t="s">
        <v>14</v>
      </c>
    </row>
    <row r="3" customFormat="false" ht="23.85" hidden="false" customHeight="false" outlineLevel="0" collapsed="false">
      <c r="A3" s="7" t="n">
        <v>1</v>
      </c>
      <c r="B3" s="7" t="s">
        <v>228</v>
      </c>
      <c r="C3" s="7" t="s">
        <v>229</v>
      </c>
      <c r="D3" s="7" t="s">
        <v>230</v>
      </c>
      <c r="E3" s="7" t="s">
        <v>58</v>
      </c>
      <c r="F3" s="7" t="s">
        <v>22</v>
      </c>
      <c r="G3" s="7" t="s">
        <v>21</v>
      </c>
    </row>
    <row r="4" customFormat="false" ht="23.85" hidden="false" customHeight="false" outlineLevel="0" collapsed="false">
      <c r="A4" s="9" t="n">
        <v>2</v>
      </c>
      <c r="B4" s="9" t="s">
        <v>231</v>
      </c>
      <c r="C4" s="9" t="s">
        <v>232</v>
      </c>
      <c r="D4" s="9" t="s">
        <v>233</v>
      </c>
      <c r="E4" s="9" t="s">
        <v>58</v>
      </c>
      <c r="F4" s="9" t="s">
        <v>28</v>
      </c>
      <c r="G4" s="9" t="s">
        <v>21</v>
      </c>
    </row>
    <row r="5" customFormat="false" ht="15" hidden="false" customHeight="false" outlineLevel="0" collapsed="false">
      <c r="A5" s="7" t="n">
        <v>3</v>
      </c>
      <c r="B5" s="7" t="s">
        <v>234</v>
      </c>
      <c r="C5" s="7" t="s">
        <v>235</v>
      </c>
      <c r="D5" s="7" t="s">
        <v>236</v>
      </c>
      <c r="E5" s="7" t="s">
        <v>31</v>
      </c>
      <c r="F5" s="7" t="s">
        <v>28</v>
      </c>
      <c r="G5" s="7" t="s">
        <v>21</v>
      </c>
    </row>
    <row r="6" customFormat="false" ht="15" hidden="false" customHeight="false" outlineLevel="0" collapsed="false">
      <c r="A6" s="9" t="n">
        <v>4</v>
      </c>
      <c r="B6" s="9" t="s">
        <v>234</v>
      </c>
      <c r="C6" s="9" t="s">
        <v>237</v>
      </c>
      <c r="D6" s="9" t="s">
        <v>238</v>
      </c>
      <c r="E6" s="9" t="s">
        <v>31</v>
      </c>
      <c r="F6" s="9" t="s">
        <v>28</v>
      </c>
      <c r="G6" s="9" t="s">
        <v>21</v>
      </c>
    </row>
    <row r="7" customFormat="false" ht="15" hidden="false" customHeight="false" outlineLevel="0" collapsed="false">
      <c r="A7" s="7" t="n">
        <v>5</v>
      </c>
      <c r="B7" s="7" t="s">
        <v>239</v>
      </c>
      <c r="C7" s="7" t="s">
        <v>240</v>
      </c>
      <c r="D7" s="7" t="s">
        <v>241</v>
      </c>
      <c r="E7" s="7" t="s">
        <v>31</v>
      </c>
      <c r="F7" s="7" t="s">
        <v>38</v>
      </c>
      <c r="G7" s="7" t="s">
        <v>21</v>
      </c>
    </row>
    <row r="8" customFormat="false" ht="15" hidden="false" customHeight="false" outlineLevel="0" collapsed="false">
      <c r="A8" s="9" t="n">
        <v>6</v>
      </c>
      <c r="B8" s="9" t="s">
        <v>239</v>
      </c>
      <c r="C8" s="9" t="s">
        <v>242</v>
      </c>
      <c r="D8" s="9" t="s">
        <v>243</v>
      </c>
      <c r="E8" s="9" t="s">
        <v>31</v>
      </c>
      <c r="F8" s="9" t="s">
        <v>81</v>
      </c>
      <c r="G8" s="9" t="s">
        <v>21</v>
      </c>
    </row>
    <row r="9" customFormat="false" ht="15" hidden="false" customHeight="false" outlineLevel="0" collapsed="false">
      <c r="A9" s="7" t="n">
        <v>7</v>
      </c>
      <c r="B9" s="7" t="s">
        <v>239</v>
      </c>
      <c r="C9" s="7" t="s">
        <v>244</v>
      </c>
      <c r="D9" s="7" t="s">
        <v>245</v>
      </c>
      <c r="E9" s="7" t="s">
        <v>25</v>
      </c>
      <c r="F9" s="7" t="s">
        <v>38</v>
      </c>
      <c r="G9" s="7" t="s">
        <v>21</v>
      </c>
    </row>
    <row r="10" customFormat="false" ht="15" hidden="false" customHeight="false" outlineLevel="0" collapsed="false">
      <c r="A10" s="9" t="n">
        <v>8</v>
      </c>
      <c r="B10" s="9" t="s">
        <v>246</v>
      </c>
      <c r="C10" s="9" t="s">
        <v>247</v>
      </c>
      <c r="D10" s="9" t="s">
        <v>248</v>
      </c>
      <c r="E10" s="9" t="s">
        <v>58</v>
      </c>
      <c r="F10" s="9" t="s">
        <v>81</v>
      </c>
      <c r="G10" s="9" t="s">
        <v>21</v>
      </c>
    </row>
    <row r="11" customFormat="false" ht="15" hidden="false" customHeight="false" outlineLevel="0" collapsed="false">
      <c r="A11" s="7" t="n">
        <v>9</v>
      </c>
      <c r="B11" s="7" t="s">
        <v>246</v>
      </c>
      <c r="C11" s="7" t="s">
        <v>249</v>
      </c>
      <c r="D11" s="7" t="s">
        <v>250</v>
      </c>
      <c r="E11" s="7" t="s">
        <v>31</v>
      </c>
      <c r="F11" s="7" t="s">
        <v>81</v>
      </c>
      <c r="G11" s="7" t="s">
        <v>21</v>
      </c>
    </row>
    <row r="12" customFormat="false" ht="15" hidden="false" customHeight="false" outlineLevel="0" collapsed="false">
      <c r="A12" s="9" t="n">
        <v>10</v>
      </c>
      <c r="B12" s="9" t="s">
        <v>246</v>
      </c>
      <c r="C12" s="9" t="s">
        <v>251</v>
      </c>
      <c r="D12" s="9" t="s">
        <v>252</v>
      </c>
      <c r="E12" s="9" t="s">
        <v>58</v>
      </c>
      <c r="F12" s="9" t="s">
        <v>81</v>
      </c>
      <c r="G12" s="9" t="s">
        <v>21</v>
      </c>
    </row>
    <row r="13" customFormat="false" ht="15" hidden="false" customHeight="false" outlineLevel="0" collapsed="false">
      <c r="A13" s="7" t="n">
        <v>11</v>
      </c>
      <c r="B13" s="7" t="s">
        <v>253</v>
      </c>
      <c r="C13" s="7" t="s">
        <v>254</v>
      </c>
      <c r="D13" s="7" t="s">
        <v>255</v>
      </c>
      <c r="E13" s="7" t="s">
        <v>58</v>
      </c>
      <c r="F13" s="7" t="s">
        <v>81</v>
      </c>
      <c r="G13" s="7" t="s">
        <v>21</v>
      </c>
    </row>
    <row r="14" customFormat="false" ht="15" hidden="false" customHeight="false" outlineLevel="0" collapsed="false">
      <c r="A14" s="9" t="n">
        <v>12</v>
      </c>
      <c r="B14" s="9" t="s">
        <v>253</v>
      </c>
      <c r="C14" s="9" t="s">
        <v>256</v>
      </c>
      <c r="D14" s="9" t="s">
        <v>257</v>
      </c>
      <c r="E14" s="9" t="s">
        <v>31</v>
      </c>
      <c r="F14" s="9" t="s">
        <v>22</v>
      </c>
      <c r="G14" s="9" t="s">
        <v>21</v>
      </c>
    </row>
    <row r="15" customFormat="false" ht="15" hidden="false" customHeight="false" outlineLevel="0" collapsed="false">
      <c r="A15" s="7" t="n">
        <v>13</v>
      </c>
      <c r="B15" s="7" t="s">
        <v>258</v>
      </c>
      <c r="C15" s="7" t="s">
        <v>259</v>
      </c>
      <c r="D15" s="7" t="s">
        <v>260</v>
      </c>
      <c r="E15" s="7" t="s">
        <v>31</v>
      </c>
      <c r="F15" s="7" t="s">
        <v>81</v>
      </c>
      <c r="G15" s="7" t="s">
        <v>21</v>
      </c>
    </row>
    <row r="16" customFormat="false" ht="15" hidden="false" customHeight="false" outlineLevel="0" collapsed="false">
      <c r="A16" s="9" t="n">
        <v>14</v>
      </c>
      <c r="B16" s="9" t="s">
        <v>258</v>
      </c>
      <c r="C16" s="9" t="s">
        <v>261</v>
      </c>
      <c r="D16" s="9" t="s">
        <v>262</v>
      </c>
      <c r="E16" s="9" t="s">
        <v>25</v>
      </c>
      <c r="F16" s="9" t="s">
        <v>81</v>
      </c>
      <c r="G16" s="9" t="s">
        <v>21</v>
      </c>
    </row>
    <row r="17" customFormat="false" ht="15" hidden="false" customHeight="false" outlineLevel="0" collapsed="false">
      <c r="A17" s="7" t="n">
        <v>15</v>
      </c>
      <c r="B17" s="7" t="s">
        <v>263</v>
      </c>
      <c r="C17" s="7" t="s">
        <v>264</v>
      </c>
      <c r="D17" s="7" t="s">
        <v>265</v>
      </c>
      <c r="E17" s="7" t="s">
        <v>25</v>
      </c>
      <c r="F17" s="7" t="s">
        <v>22</v>
      </c>
      <c r="G17" s="7" t="s">
        <v>21</v>
      </c>
    </row>
    <row r="18" customFormat="false" ht="15" hidden="false" customHeight="false" outlineLevel="0" collapsed="false">
      <c r="A18" s="9" t="n">
        <v>16</v>
      </c>
      <c r="B18" s="9" t="s">
        <v>263</v>
      </c>
      <c r="C18" s="9" t="s">
        <v>266</v>
      </c>
      <c r="D18" s="9" t="s">
        <v>267</v>
      </c>
      <c r="E18" s="9" t="s">
        <v>31</v>
      </c>
      <c r="F18" s="9" t="s">
        <v>28</v>
      </c>
      <c r="G18" s="9" t="s">
        <v>21</v>
      </c>
    </row>
    <row r="19" customFormat="false" ht="15" hidden="false" customHeight="false" outlineLevel="0" collapsed="false">
      <c r="A19" s="7" t="n">
        <v>17</v>
      </c>
      <c r="B19" s="7" t="s">
        <v>268</v>
      </c>
      <c r="C19" s="7" t="s">
        <v>269</v>
      </c>
      <c r="D19" s="7" t="s">
        <v>270</v>
      </c>
      <c r="E19" s="7" t="s">
        <v>31</v>
      </c>
      <c r="F19" s="7" t="s">
        <v>43</v>
      </c>
      <c r="G19" s="7" t="s">
        <v>21</v>
      </c>
    </row>
    <row r="20" customFormat="false" ht="15" hidden="false" customHeight="false" outlineLevel="0" collapsed="false">
      <c r="A20" s="9" t="n">
        <v>18</v>
      </c>
      <c r="B20" s="9" t="s">
        <v>268</v>
      </c>
      <c r="C20" s="9" t="s">
        <v>271</v>
      </c>
      <c r="D20" s="9" t="s">
        <v>272</v>
      </c>
      <c r="E20" s="9" t="s">
        <v>25</v>
      </c>
      <c r="F20" s="9" t="s">
        <v>28</v>
      </c>
      <c r="G20" s="9" t="s">
        <v>21</v>
      </c>
    </row>
    <row r="21" customFormat="false" ht="15" hidden="false" customHeight="false" outlineLevel="0" collapsed="false">
      <c r="A21" s="7" t="n">
        <v>19</v>
      </c>
      <c r="B21" s="7" t="s">
        <v>268</v>
      </c>
      <c r="C21" s="7" t="s">
        <v>273</v>
      </c>
      <c r="D21" s="7" t="s">
        <v>274</v>
      </c>
      <c r="E21" s="7" t="s">
        <v>31</v>
      </c>
      <c r="F21" s="7" t="s">
        <v>81</v>
      </c>
      <c r="G21" s="7" t="s">
        <v>21</v>
      </c>
    </row>
    <row r="22" customFormat="false" ht="15" hidden="false" customHeight="false" outlineLevel="0" collapsed="false">
      <c r="A22" s="9" t="n">
        <v>20</v>
      </c>
      <c r="B22" s="9" t="s">
        <v>275</v>
      </c>
      <c r="C22" s="9" t="s">
        <v>276</v>
      </c>
      <c r="D22" s="9" t="s">
        <v>277</v>
      </c>
      <c r="E22" s="9" t="s">
        <v>25</v>
      </c>
      <c r="F22" s="9" t="s">
        <v>22</v>
      </c>
      <c r="G22" s="9" t="s">
        <v>21</v>
      </c>
    </row>
    <row r="23" customFormat="false" ht="15" hidden="false" customHeight="false" outlineLevel="0" collapsed="false">
      <c r="A23" s="7" t="n">
        <v>21</v>
      </c>
      <c r="B23" s="7" t="s">
        <v>278</v>
      </c>
      <c r="C23" s="7" t="s">
        <v>279</v>
      </c>
      <c r="D23" s="7" t="s">
        <v>280</v>
      </c>
      <c r="E23" s="7" t="s">
        <v>31</v>
      </c>
      <c r="F23" s="7" t="s">
        <v>28</v>
      </c>
      <c r="G23" s="7" t="s">
        <v>21</v>
      </c>
    </row>
    <row r="24" customFormat="false" ht="15" hidden="false" customHeight="false" outlineLevel="0" collapsed="false">
      <c r="A24" s="9" t="n">
        <v>22</v>
      </c>
      <c r="B24" s="9" t="s">
        <v>281</v>
      </c>
      <c r="C24" s="9" t="s">
        <v>282</v>
      </c>
      <c r="D24" s="9" t="s">
        <v>283</v>
      </c>
      <c r="E24" s="9" t="s">
        <v>31</v>
      </c>
      <c r="F24" s="9" t="s">
        <v>81</v>
      </c>
      <c r="G24" s="9" t="s">
        <v>21</v>
      </c>
    </row>
    <row r="25" customFormat="false" ht="15" hidden="false" customHeight="false" outlineLevel="0" collapsed="false">
      <c r="A25" s="7" t="n">
        <v>23</v>
      </c>
      <c r="B25" s="7" t="s">
        <v>284</v>
      </c>
      <c r="C25" s="7" t="s">
        <v>285</v>
      </c>
      <c r="D25" s="7" t="s">
        <v>286</v>
      </c>
      <c r="E25" s="7" t="s">
        <v>25</v>
      </c>
      <c r="F25" s="7" t="s">
        <v>38</v>
      </c>
      <c r="G25" s="7" t="s">
        <v>21</v>
      </c>
    </row>
    <row r="26" customFormat="false" ht="15" hidden="false" customHeight="false" outlineLevel="0" collapsed="false">
      <c r="A26" s="9" t="n">
        <v>24</v>
      </c>
      <c r="B26" s="9" t="s">
        <v>287</v>
      </c>
      <c r="C26" s="9" t="s">
        <v>288</v>
      </c>
      <c r="D26" s="9" t="s">
        <v>289</v>
      </c>
      <c r="E26" s="9" t="s">
        <v>25</v>
      </c>
      <c r="F26" s="9" t="s">
        <v>22</v>
      </c>
      <c r="G26" s="9" t="s">
        <v>21</v>
      </c>
    </row>
    <row r="27" customFormat="false" ht="15" hidden="false" customHeight="false" outlineLevel="0" collapsed="false">
      <c r="A27" s="7" t="n">
        <v>25</v>
      </c>
      <c r="B27" s="7" t="s">
        <v>290</v>
      </c>
      <c r="C27" s="7" t="s">
        <v>291</v>
      </c>
      <c r="D27" s="7" t="s">
        <v>292</v>
      </c>
      <c r="E27" s="7" t="s">
        <v>25</v>
      </c>
      <c r="F27" s="7" t="s">
        <v>221</v>
      </c>
      <c r="G27" s="7" t="s">
        <v>21</v>
      </c>
    </row>
  </sheetData>
  <mergeCells count="1">
    <mergeCell ref="A1:G1"/>
  </mergeCells>
  <dataValidations count="1">
    <dataValidation allowBlank="true" errorStyle="stop" operator="between" showDropDown="false" showErrorMessage="false" showInputMessage="false" sqref="G3:G30" type="list">
      <formula1>"Offen,In Klärung,Geklärt,Vertagt"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44AD"/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22"/>
    <col collapsed="false" customWidth="true" hidden="false" outlineLevel="0" max="5" min="5" style="0" width="50"/>
    <col collapsed="false" customWidth="true" hidden="false" outlineLevel="0" max="8" min="6" style="0" width="22"/>
  </cols>
  <sheetData>
    <row r="1" customFormat="false" ht="17.35" hidden="false" customHeight="false" outlineLevel="0" collapsed="false">
      <c r="A1" s="1" t="s">
        <v>293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6" t="s">
        <v>294</v>
      </c>
      <c r="B3" s="6" t="s">
        <v>295</v>
      </c>
      <c r="C3" s="6" t="s">
        <v>296</v>
      </c>
      <c r="D3" s="6" t="s">
        <v>10</v>
      </c>
      <c r="E3" s="6" t="s">
        <v>297</v>
      </c>
      <c r="F3" s="6" t="s">
        <v>298</v>
      </c>
      <c r="G3" s="6" t="s">
        <v>14</v>
      </c>
      <c r="H3" s="6" t="s">
        <v>15</v>
      </c>
    </row>
    <row r="4" customFormat="false" ht="23.85" hidden="false" customHeight="false" outlineLevel="0" collapsed="false">
      <c r="A4" s="7" t="s">
        <v>299</v>
      </c>
      <c r="B4" s="7" t="s">
        <v>300</v>
      </c>
      <c r="C4" s="7" t="s">
        <v>301</v>
      </c>
      <c r="D4" s="7" t="s">
        <v>302</v>
      </c>
      <c r="E4" s="7" t="s">
        <v>73</v>
      </c>
      <c r="F4" s="7" t="s">
        <v>303</v>
      </c>
      <c r="G4" s="7" t="s">
        <v>304</v>
      </c>
      <c r="H4" s="7" t="s">
        <v>22</v>
      </c>
    </row>
    <row r="5" customFormat="false" ht="23.85" hidden="false" customHeight="false" outlineLevel="0" collapsed="false">
      <c r="A5" s="9" t="s">
        <v>305</v>
      </c>
      <c r="B5" s="9" t="s">
        <v>306</v>
      </c>
      <c r="C5" s="9" t="s">
        <v>307</v>
      </c>
      <c r="D5" s="9" t="s">
        <v>308</v>
      </c>
      <c r="E5" s="9" t="s">
        <v>309</v>
      </c>
      <c r="F5" s="9" t="s">
        <v>310</v>
      </c>
      <c r="G5" s="9" t="s">
        <v>304</v>
      </c>
      <c r="H5" s="9" t="s">
        <v>28</v>
      </c>
    </row>
    <row r="6" customFormat="false" ht="23.85" hidden="false" customHeight="false" outlineLevel="0" collapsed="false">
      <c r="A6" s="7" t="s">
        <v>311</v>
      </c>
      <c r="B6" s="7" t="s">
        <v>306</v>
      </c>
      <c r="C6" s="7" t="s">
        <v>307</v>
      </c>
      <c r="D6" s="7" t="s">
        <v>312</v>
      </c>
      <c r="E6" s="7" t="s">
        <v>313</v>
      </c>
      <c r="F6" s="7" t="s">
        <v>310</v>
      </c>
      <c r="G6" s="7" t="s">
        <v>304</v>
      </c>
      <c r="H6" s="7" t="s">
        <v>28</v>
      </c>
    </row>
    <row r="7" customFormat="false" ht="23.85" hidden="false" customHeight="false" outlineLevel="0" collapsed="false">
      <c r="A7" s="9" t="s">
        <v>314</v>
      </c>
      <c r="B7" s="9" t="s">
        <v>306</v>
      </c>
      <c r="C7" s="9" t="s">
        <v>315</v>
      </c>
      <c r="D7" s="9" t="s">
        <v>316</v>
      </c>
      <c r="E7" s="9" t="s">
        <v>317</v>
      </c>
      <c r="F7" s="9" t="s">
        <v>310</v>
      </c>
      <c r="G7" s="9" t="s">
        <v>304</v>
      </c>
      <c r="H7" s="9" t="s">
        <v>28</v>
      </c>
    </row>
    <row r="8" customFormat="false" ht="23.85" hidden="false" customHeight="false" outlineLevel="0" collapsed="false">
      <c r="A8" s="7" t="s">
        <v>318</v>
      </c>
      <c r="B8" s="7" t="s">
        <v>319</v>
      </c>
      <c r="C8" s="7" t="s">
        <v>320</v>
      </c>
      <c r="D8" s="7" t="s">
        <v>321</v>
      </c>
      <c r="E8" s="7" t="s">
        <v>322</v>
      </c>
      <c r="F8" s="7" t="s">
        <v>323</v>
      </c>
      <c r="G8" s="7" t="s">
        <v>304</v>
      </c>
      <c r="H8" s="7" t="s">
        <v>28</v>
      </c>
    </row>
    <row r="9" customFormat="false" ht="23.85" hidden="false" customHeight="false" outlineLevel="0" collapsed="false">
      <c r="A9" s="9" t="s">
        <v>324</v>
      </c>
      <c r="B9" s="9" t="s">
        <v>325</v>
      </c>
      <c r="C9" s="9" t="s">
        <v>326</v>
      </c>
      <c r="D9" s="9" t="s">
        <v>327</v>
      </c>
      <c r="E9" s="9" t="s">
        <v>328</v>
      </c>
      <c r="F9" s="9" t="s">
        <v>329</v>
      </c>
      <c r="G9" s="9" t="s">
        <v>304</v>
      </c>
      <c r="H9" s="9" t="s">
        <v>28</v>
      </c>
    </row>
    <row r="10" customFormat="false" ht="23.85" hidden="false" customHeight="false" outlineLevel="0" collapsed="false">
      <c r="A10" s="7" t="s">
        <v>330</v>
      </c>
      <c r="B10" s="7" t="s">
        <v>331</v>
      </c>
      <c r="C10" s="7" t="s">
        <v>332</v>
      </c>
      <c r="D10" s="7" t="s">
        <v>333</v>
      </c>
      <c r="E10" s="7" t="s">
        <v>334</v>
      </c>
      <c r="F10" s="7" t="s">
        <v>335</v>
      </c>
      <c r="G10" s="7" t="s">
        <v>304</v>
      </c>
      <c r="H10" s="7" t="s">
        <v>38</v>
      </c>
    </row>
    <row r="11" customFormat="false" ht="23.85" hidden="false" customHeight="false" outlineLevel="0" collapsed="false">
      <c r="A11" s="9" t="s">
        <v>322</v>
      </c>
      <c r="B11" s="9" t="s">
        <v>336</v>
      </c>
      <c r="C11" s="9" t="s">
        <v>337</v>
      </c>
      <c r="D11" s="9" t="s">
        <v>338</v>
      </c>
      <c r="E11" s="9" t="s">
        <v>73</v>
      </c>
      <c r="F11" s="9" t="s">
        <v>339</v>
      </c>
      <c r="G11" s="9" t="s">
        <v>304</v>
      </c>
      <c r="H11" s="9" t="s">
        <v>22</v>
      </c>
    </row>
    <row r="12" customFormat="false" ht="23.85" hidden="false" customHeight="false" outlineLevel="0" collapsed="false">
      <c r="A12" s="7" t="s">
        <v>340</v>
      </c>
      <c r="B12" s="7" t="s">
        <v>341</v>
      </c>
      <c r="C12" s="7" t="s">
        <v>342</v>
      </c>
      <c r="D12" s="7" t="s">
        <v>343</v>
      </c>
      <c r="E12" s="7" t="s">
        <v>344</v>
      </c>
      <c r="F12" s="7" t="s">
        <v>345</v>
      </c>
      <c r="G12" s="7" t="s">
        <v>304</v>
      </c>
      <c r="H12" s="7" t="s">
        <v>28</v>
      </c>
    </row>
    <row r="13" customFormat="false" ht="23.85" hidden="false" customHeight="false" outlineLevel="0" collapsed="false">
      <c r="A13" s="9" t="s">
        <v>346</v>
      </c>
      <c r="B13" s="9" t="s">
        <v>336</v>
      </c>
      <c r="C13" s="9" t="s">
        <v>347</v>
      </c>
      <c r="D13" s="9" t="s">
        <v>348</v>
      </c>
      <c r="E13" s="9" t="s">
        <v>322</v>
      </c>
      <c r="F13" s="9" t="s">
        <v>345</v>
      </c>
      <c r="G13" s="9" t="s">
        <v>304</v>
      </c>
      <c r="H13" s="9" t="s">
        <v>22</v>
      </c>
    </row>
    <row r="14" customFormat="false" ht="23.85" hidden="false" customHeight="false" outlineLevel="0" collapsed="false">
      <c r="A14" s="7" t="s">
        <v>281</v>
      </c>
      <c r="B14" s="7" t="s">
        <v>336</v>
      </c>
      <c r="C14" s="7" t="s">
        <v>349</v>
      </c>
      <c r="D14" s="7" t="s">
        <v>350</v>
      </c>
      <c r="E14" s="7" t="s">
        <v>351</v>
      </c>
      <c r="F14" s="7" t="s">
        <v>352</v>
      </c>
      <c r="G14" s="7" t="s">
        <v>304</v>
      </c>
      <c r="H14" s="7" t="s">
        <v>22</v>
      </c>
    </row>
    <row r="17" customFormat="false" ht="17.35" hidden="false" customHeight="false" outlineLevel="0" collapsed="false">
      <c r="A17" s="1" t="s">
        <v>353</v>
      </c>
      <c r="B17" s="1"/>
      <c r="C17" s="1"/>
      <c r="D17" s="1"/>
      <c r="E17" s="1"/>
      <c r="F17" s="1"/>
      <c r="G17" s="1"/>
      <c r="H17" s="1"/>
    </row>
    <row r="18" customFormat="false" ht="15" hidden="false" customHeight="false" outlineLevel="0" collapsed="false">
      <c r="A18" s="6" t="s">
        <v>354</v>
      </c>
      <c r="B18" s="6" t="s">
        <v>355</v>
      </c>
      <c r="C18" s="6" t="s">
        <v>356</v>
      </c>
      <c r="D18" s="6" t="s">
        <v>357</v>
      </c>
      <c r="E18" s="6" t="s">
        <v>358</v>
      </c>
      <c r="F18" s="6" t="s">
        <v>359</v>
      </c>
    </row>
    <row r="19" customFormat="false" ht="15" hidden="false" customHeight="false" outlineLevel="0" collapsed="false">
      <c r="A19" s="7" t="s">
        <v>360</v>
      </c>
      <c r="B19" s="7" t="s">
        <v>361</v>
      </c>
      <c r="C19" s="7" t="s">
        <v>362</v>
      </c>
      <c r="D19" s="7" t="s">
        <v>363</v>
      </c>
      <c r="E19" s="7" t="s">
        <v>364</v>
      </c>
      <c r="F19" s="7" t="s">
        <v>365</v>
      </c>
    </row>
    <row r="20" customFormat="false" ht="15" hidden="false" customHeight="false" outlineLevel="0" collapsed="false">
      <c r="A20" s="9" t="s">
        <v>361</v>
      </c>
      <c r="B20" s="9" t="s">
        <v>366</v>
      </c>
      <c r="C20" s="9" t="s">
        <v>362</v>
      </c>
      <c r="D20" s="9" t="s">
        <v>367</v>
      </c>
      <c r="E20" s="9" t="s">
        <v>368</v>
      </c>
      <c r="F20" s="9" t="s">
        <v>369</v>
      </c>
    </row>
    <row r="21" customFormat="false" ht="15" hidden="false" customHeight="false" outlineLevel="0" collapsed="false">
      <c r="A21" s="7" t="s">
        <v>366</v>
      </c>
      <c r="B21" s="7" t="s">
        <v>361</v>
      </c>
      <c r="C21" s="7" t="s">
        <v>362</v>
      </c>
      <c r="D21" s="7" t="s">
        <v>370</v>
      </c>
      <c r="E21" s="7" t="s">
        <v>371</v>
      </c>
      <c r="F21" s="7" t="s">
        <v>372</v>
      </c>
    </row>
    <row r="22" customFormat="false" ht="15" hidden="false" customHeight="false" outlineLevel="0" collapsed="false">
      <c r="A22" s="9" t="s">
        <v>361</v>
      </c>
      <c r="B22" s="9" t="s">
        <v>366</v>
      </c>
      <c r="C22" s="9" t="s">
        <v>362</v>
      </c>
      <c r="D22" s="9" t="s">
        <v>373</v>
      </c>
      <c r="E22" s="9" t="s">
        <v>374</v>
      </c>
      <c r="F22" s="9" t="s">
        <v>375</v>
      </c>
    </row>
    <row r="23" customFormat="false" ht="15" hidden="false" customHeight="false" outlineLevel="0" collapsed="false">
      <c r="A23" s="7" t="s">
        <v>361</v>
      </c>
      <c r="B23" s="7" t="s">
        <v>376</v>
      </c>
      <c r="C23" s="7" t="s">
        <v>377</v>
      </c>
      <c r="D23" s="7" t="s">
        <v>378</v>
      </c>
      <c r="E23" s="7" t="s">
        <v>379</v>
      </c>
      <c r="F23" s="7" t="s">
        <v>380</v>
      </c>
    </row>
    <row r="24" customFormat="false" ht="15" hidden="false" customHeight="false" outlineLevel="0" collapsed="false">
      <c r="A24" s="9" t="s">
        <v>360</v>
      </c>
      <c r="B24" s="9" t="s">
        <v>376</v>
      </c>
      <c r="C24" s="9" t="s">
        <v>377</v>
      </c>
      <c r="D24" s="9" t="s">
        <v>381</v>
      </c>
      <c r="E24" s="9" t="s">
        <v>382</v>
      </c>
      <c r="F24" s="9" t="s">
        <v>383</v>
      </c>
    </row>
  </sheetData>
  <mergeCells count="2">
    <mergeCell ref="A1:H1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4C3C"/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45"/>
    <col collapsed="false" customWidth="true" hidden="false" outlineLevel="0" max="4" min="4" style="0" width="12"/>
    <col collapsed="false" customWidth="true" hidden="false" outlineLevel="0" max="5" min="5" style="0" width="35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384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6" t="s">
        <v>225</v>
      </c>
      <c r="B2" s="6" t="s">
        <v>385</v>
      </c>
      <c r="C2" s="6" t="s">
        <v>386</v>
      </c>
      <c r="D2" s="6" t="s">
        <v>387</v>
      </c>
      <c r="E2" s="6" t="s">
        <v>388</v>
      </c>
      <c r="F2" s="6" t="s">
        <v>14</v>
      </c>
    </row>
    <row r="3" customFormat="false" ht="15" hidden="false" customHeight="false" outlineLevel="0" collapsed="false">
      <c r="A3" s="7" t="s">
        <v>389</v>
      </c>
      <c r="B3" s="7" t="s">
        <v>390</v>
      </c>
      <c r="C3" s="7" t="s">
        <v>391</v>
      </c>
      <c r="D3" s="7" t="s">
        <v>58</v>
      </c>
      <c r="E3" s="7" t="s">
        <v>392</v>
      </c>
      <c r="F3" s="7" t="s">
        <v>393</v>
      </c>
    </row>
    <row r="4" customFormat="false" ht="15" hidden="false" customHeight="false" outlineLevel="0" collapsed="false">
      <c r="A4" s="9" t="s">
        <v>389</v>
      </c>
      <c r="B4" s="9" t="s">
        <v>394</v>
      </c>
      <c r="C4" s="9" t="s">
        <v>395</v>
      </c>
      <c r="D4" s="9" t="s">
        <v>58</v>
      </c>
      <c r="E4" s="9" t="s">
        <v>396</v>
      </c>
      <c r="F4" s="9" t="s">
        <v>393</v>
      </c>
    </row>
    <row r="5" customFormat="false" ht="15" hidden="false" customHeight="false" outlineLevel="0" collapsed="false">
      <c r="A5" s="7" t="s">
        <v>389</v>
      </c>
      <c r="B5" s="7" t="s">
        <v>397</v>
      </c>
      <c r="C5" s="7" t="s">
        <v>398</v>
      </c>
      <c r="D5" s="7" t="s">
        <v>58</v>
      </c>
      <c r="E5" s="7" t="s">
        <v>399</v>
      </c>
      <c r="F5" s="7" t="s">
        <v>393</v>
      </c>
    </row>
    <row r="6" customFormat="false" ht="15" hidden="false" customHeight="false" outlineLevel="0" collapsed="false">
      <c r="A6" s="9" t="s">
        <v>389</v>
      </c>
      <c r="B6" s="9" t="s">
        <v>400</v>
      </c>
      <c r="C6" s="9" t="s">
        <v>401</v>
      </c>
      <c r="D6" s="9" t="s">
        <v>31</v>
      </c>
      <c r="E6" s="9" t="s">
        <v>402</v>
      </c>
      <c r="F6" s="9" t="s">
        <v>393</v>
      </c>
    </row>
    <row r="7" customFormat="false" ht="15" hidden="false" customHeight="false" outlineLevel="0" collapsed="false">
      <c r="A7" s="7" t="s">
        <v>389</v>
      </c>
      <c r="B7" s="7" t="s">
        <v>403</v>
      </c>
      <c r="C7" s="7" t="s">
        <v>404</v>
      </c>
      <c r="D7" s="7" t="s">
        <v>31</v>
      </c>
      <c r="E7" s="7" t="s">
        <v>405</v>
      </c>
      <c r="F7" s="7" t="s">
        <v>393</v>
      </c>
    </row>
    <row r="8" customFormat="false" ht="15" hidden="false" customHeight="false" outlineLevel="0" collapsed="false">
      <c r="A8" s="9" t="s">
        <v>389</v>
      </c>
      <c r="B8" s="9" t="s">
        <v>406</v>
      </c>
      <c r="C8" s="9" t="s">
        <v>407</v>
      </c>
      <c r="D8" s="9" t="s">
        <v>31</v>
      </c>
      <c r="E8" s="9" t="s">
        <v>408</v>
      </c>
      <c r="F8" s="9" t="s">
        <v>393</v>
      </c>
    </row>
    <row r="9" customFormat="false" ht="15" hidden="false" customHeight="false" outlineLevel="0" collapsed="false">
      <c r="A9" s="7" t="s">
        <v>409</v>
      </c>
      <c r="B9" s="7" t="s">
        <v>410</v>
      </c>
      <c r="C9" s="7" t="s">
        <v>411</v>
      </c>
      <c r="D9" s="7" t="s">
        <v>58</v>
      </c>
      <c r="E9" s="7" t="s">
        <v>412</v>
      </c>
      <c r="F9" s="7" t="s">
        <v>393</v>
      </c>
    </row>
    <row r="10" customFormat="false" ht="15" hidden="false" customHeight="false" outlineLevel="0" collapsed="false">
      <c r="A10" s="9" t="s">
        <v>409</v>
      </c>
      <c r="B10" s="9" t="s">
        <v>413</v>
      </c>
      <c r="C10" s="9" t="s">
        <v>414</v>
      </c>
      <c r="D10" s="9" t="s">
        <v>31</v>
      </c>
      <c r="E10" s="9" t="s">
        <v>415</v>
      </c>
      <c r="F10" s="9" t="s">
        <v>393</v>
      </c>
    </row>
    <row r="11" customFormat="false" ht="15" hidden="false" customHeight="false" outlineLevel="0" collapsed="false">
      <c r="A11" s="7" t="s">
        <v>409</v>
      </c>
      <c r="B11" s="7" t="s">
        <v>416</v>
      </c>
      <c r="C11" s="7" t="s">
        <v>417</v>
      </c>
      <c r="D11" s="7" t="s">
        <v>25</v>
      </c>
      <c r="E11" s="7" t="s">
        <v>418</v>
      </c>
      <c r="F11" s="7" t="s">
        <v>393</v>
      </c>
    </row>
    <row r="12" customFormat="false" ht="15" hidden="false" customHeight="false" outlineLevel="0" collapsed="false">
      <c r="A12" s="9" t="s">
        <v>409</v>
      </c>
      <c r="B12" s="9" t="s">
        <v>419</v>
      </c>
      <c r="C12" s="9" t="s">
        <v>420</v>
      </c>
      <c r="D12" s="9" t="s">
        <v>31</v>
      </c>
      <c r="E12" s="9" t="s">
        <v>421</v>
      </c>
      <c r="F12" s="9" t="s">
        <v>393</v>
      </c>
    </row>
    <row r="13" customFormat="false" ht="15" hidden="false" customHeight="false" outlineLevel="0" collapsed="false">
      <c r="A13" s="7" t="s">
        <v>409</v>
      </c>
      <c r="B13" s="7" t="s">
        <v>422</v>
      </c>
      <c r="C13" s="7" t="s">
        <v>423</v>
      </c>
      <c r="D13" s="7" t="s">
        <v>25</v>
      </c>
      <c r="E13" s="7" t="s">
        <v>421</v>
      </c>
      <c r="F13" s="7" t="s">
        <v>393</v>
      </c>
    </row>
    <row r="14" customFormat="false" ht="15" hidden="false" customHeight="false" outlineLevel="0" collapsed="false">
      <c r="A14" s="9" t="s">
        <v>424</v>
      </c>
      <c r="B14" s="9" t="s">
        <v>425</v>
      </c>
      <c r="C14" s="9" t="s">
        <v>426</v>
      </c>
      <c r="D14" s="9" t="s">
        <v>58</v>
      </c>
      <c r="E14" s="9" t="s">
        <v>427</v>
      </c>
      <c r="F14" s="9" t="s">
        <v>393</v>
      </c>
    </row>
    <row r="15" customFormat="false" ht="15" hidden="false" customHeight="false" outlineLevel="0" collapsed="false">
      <c r="A15" s="7" t="s">
        <v>424</v>
      </c>
      <c r="B15" s="7" t="s">
        <v>428</v>
      </c>
      <c r="C15" s="7" t="s">
        <v>429</v>
      </c>
      <c r="D15" s="7" t="s">
        <v>31</v>
      </c>
      <c r="E15" s="7" t="s">
        <v>73</v>
      </c>
      <c r="F15" s="7" t="s">
        <v>393</v>
      </c>
    </row>
    <row r="16" customFormat="false" ht="15" hidden="false" customHeight="false" outlineLevel="0" collapsed="false">
      <c r="A16" s="9" t="s">
        <v>424</v>
      </c>
      <c r="B16" s="9" t="s">
        <v>430</v>
      </c>
      <c r="C16" s="9" t="s">
        <v>431</v>
      </c>
      <c r="D16" s="9" t="s">
        <v>31</v>
      </c>
      <c r="E16" s="9" t="s">
        <v>73</v>
      </c>
      <c r="F16" s="9" t="s">
        <v>393</v>
      </c>
    </row>
    <row r="17" customFormat="false" ht="15" hidden="false" customHeight="false" outlineLevel="0" collapsed="false">
      <c r="A17" s="7" t="s">
        <v>432</v>
      </c>
      <c r="B17" s="7" t="s">
        <v>433</v>
      </c>
      <c r="C17" s="7" t="s">
        <v>434</v>
      </c>
      <c r="D17" s="7" t="s">
        <v>58</v>
      </c>
      <c r="E17" s="7" t="s">
        <v>435</v>
      </c>
      <c r="F17" s="7" t="s">
        <v>393</v>
      </c>
    </row>
    <row r="18" customFormat="false" ht="15" hidden="false" customHeight="false" outlineLevel="0" collapsed="false">
      <c r="A18" s="9" t="s">
        <v>432</v>
      </c>
      <c r="B18" s="9" t="s">
        <v>436</v>
      </c>
      <c r="C18" s="9" t="s">
        <v>437</v>
      </c>
      <c r="D18" s="9" t="s">
        <v>31</v>
      </c>
      <c r="E18" s="9" t="s">
        <v>438</v>
      </c>
      <c r="F18" s="9" t="s">
        <v>393</v>
      </c>
    </row>
    <row r="19" customFormat="false" ht="15" hidden="false" customHeight="false" outlineLevel="0" collapsed="false">
      <c r="A19" s="7" t="s">
        <v>432</v>
      </c>
      <c r="B19" s="7" t="s">
        <v>439</v>
      </c>
      <c r="C19" s="7" t="s">
        <v>440</v>
      </c>
      <c r="D19" s="7" t="s">
        <v>31</v>
      </c>
      <c r="E19" s="7" t="s">
        <v>441</v>
      </c>
      <c r="F19" s="7" t="s">
        <v>393</v>
      </c>
    </row>
    <row r="20" customFormat="false" ht="15" hidden="false" customHeight="false" outlineLevel="0" collapsed="false">
      <c r="A20" s="9" t="s">
        <v>432</v>
      </c>
      <c r="B20" s="9" t="s">
        <v>442</v>
      </c>
      <c r="C20" s="9" t="s">
        <v>443</v>
      </c>
      <c r="D20" s="9" t="s">
        <v>25</v>
      </c>
      <c r="E20" s="9" t="s">
        <v>444</v>
      </c>
      <c r="F20" s="9" t="s">
        <v>393</v>
      </c>
    </row>
    <row r="21" customFormat="false" ht="15" hidden="false" customHeight="false" outlineLevel="0" collapsed="false">
      <c r="A21" s="7" t="s">
        <v>432</v>
      </c>
      <c r="B21" s="7" t="s">
        <v>445</v>
      </c>
      <c r="C21" s="7" t="s">
        <v>446</v>
      </c>
      <c r="D21" s="7" t="s">
        <v>25</v>
      </c>
      <c r="E21" s="7" t="s">
        <v>447</v>
      </c>
      <c r="F21" s="7" t="s">
        <v>393</v>
      </c>
    </row>
    <row r="22" customFormat="false" ht="15" hidden="false" customHeight="false" outlineLevel="0" collapsed="false">
      <c r="A22" s="9" t="s">
        <v>448</v>
      </c>
      <c r="B22" s="9" t="s">
        <v>449</v>
      </c>
      <c r="C22" s="9" t="s">
        <v>450</v>
      </c>
      <c r="D22" s="9" t="s">
        <v>58</v>
      </c>
      <c r="E22" s="9" t="s">
        <v>451</v>
      </c>
      <c r="F22" s="9" t="s">
        <v>452</v>
      </c>
    </row>
    <row r="23" customFormat="false" ht="15" hidden="false" customHeight="false" outlineLevel="0" collapsed="false">
      <c r="A23" s="7" t="s">
        <v>448</v>
      </c>
      <c r="B23" s="7" t="s">
        <v>453</v>
      </c>
      <c r="C23" s="7" t="s">
        <v>454</v>
      </c>
      <c r="D23" s="7" t="s">
        <v>58</v>
      </c>
      <c r="E23" s="7" t="s">
        <v>455</v>
      </c>
      <c r="F23" s="7" t="s">
        <v>452</v>
      </c>
    </row>
    <row r="24" customFormat="false" ht="15" hidden="false" customHeight="false" outlineLevel="0" collapsed="false">
      <c r="A24" s="9" t="s">
        <v>448</v>
      </c>
      <c r="B24" s="9" t="s">
        <v>456</v>
      </c>
      <c r="C24" s="9" t="s">
        <v>457</v>
      </c>
      <c r="D24" s="9" t="s">
        <v>31</v>
      </c>
      <c r="E24" s="9" t="s">
        <v>458</v>
      </c>
      <c r="F24" s="9" t="s">
        <v>452</v>
      </c>
    </row>
    <row r="25" customFormat="false" ht="15" hidden="false" customHeight="false" outlineLevel="0" collapsed="false">
      <c r="A25" s="7" t="s">
        <v>448</v>
      </c>
      <c r="B25" s="7" t="s">
        <v>459</v>
      </c>
      <c r="C25" s="7" t="s">
        <v>460</v>
      </c>
      <c r="D25" s="7" t="s">
        <v>31</v>
      </c>
      <c r="E25" s="7" t="s">
        <v>461</v>
      </c>
      <c r="F25" s="7" t="s">
        <v>452</v>
      </c>
    </row>
    <row r="26" customFormat="false" ht="15" hidden="false" customHeight="false" outlineLevel="0" collapsed="false">
      <c r="A26" s="9" t="s">
        <v>448</v>
      </c>
      <c r="B26" s="9" t="s">
        <v>462</v>
      </c>
      <c r="C26" s="9" t="s">
        <v>463</v>
      </c>
      <c r="D26" s="9" t="s">
        <v>31</v>
      </c>
      <c r="E26" s="9" t="s">
        <v>464</v>
      </c>
      <c r="F26" s="9" t="s">
        <v>452</v>
      </c>
    </row>
    <row r="27" customFormat="false" ht="15" hidden="false" customHeight="false" outlineLevel="0" collapsed="false">
      <c r="A27" s="7" t="s">
        <v>448</v>
      </c>
      <c r="B27" s="7" t="s">
        <v>465</v>
      </c>
      <c r="C27" s="7" t="s">
        <v>466</v>
      </c>
      <c r="D27" s="7" t="s">
        <v>31</v>
      </c>
      <c r="E27" s="7" t="s">
        <v>467</v>
      </c>
      <c r="F27" s="7" t="s">
        <v>452</v>
      </c>
    </row>
    <row r="28" customFormat="false" ht="15" hidden="false" customHeight="false" outlineLevel="0" collapsed="false">
      <c r="A28" s="9" t="s">
        <v>448</v>
      </c>
      <c r="B28" s="9" t="s">
        <v>468</v>
      </c>
      <c r="C28" s="9" t="s">
        <v>469</v>
      </c>
      <c r="D28" s="9" t="s">
        <v>25</v>
      </c>
      <c r="E28" s="9" t="s">
        <v>470</v>
      </c>
      <c r="F28" s="9" t="s">
        <v>452</v>
      </c>
    </row>
    <row r="29" customFormat="false" ht="15" hidden="false" customHeight="false" outlineLevel="0" collapsed="false">
      <c r="A29" s="7" t="s">
        <v>448</v>
      </c>
      <c r="B29" s="7" t="s">
        <v>471</v>
      </c>
      <c r="C29" s="7" t="s">
        <v>472</v>
      </c>
      <c r="D29" s="7" t="s">
        <v>25</v>
      </c>
      <c r="E29" s="7" t="s">
        <v>473</v>
      </c>
      <c r="F29" s="7" t="s">
        <v>452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4C3C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474</v>
      </c>
      <c r="B1" s="1"/>
      <c r="C1" s="1"/>
      <c r="D1" s="1"/>
      <c r="E1" s="1"/>
      <c r="F1" s="1"/>
      <c r="G1" s="1"/>
      <c r="H1" s="1"/>
    </row>
    <row r="2" customFormat="false" ht="26.85" hidden="false" customHeight="false" outlineLevel="0" collapsed="false">
      <c r="A2" s="6" t="s">
        <v>224</v>
      </c>
      <c r="B2" s="6" t="s">
        <v>18</v>
      </c>
      <c r="C2" s="6" t="s">
        <v>475</v>
      </c>
      <c r="D2" s="6" t="s">
        <v>476</v>
      </c>
      <c r="E2" s="6" t="s">
        <v>477</v>
      </c>
      <c r="F2" s="6" t="s">
        <v>478</v>
      </c>
      <c r="G2" s="6" t="s">
        <v>479</v>
      </c>
      <c r="H2" s="6" t="s">
        <v>14</v>
      </c>
    </row>
    <row r="3" customFormat="false" ht="15" hidden="false" customHeight="false" outlineLevel="0" collapsed="false">
      <c r="A3" s="7" t="n">
        <v>1</v>
      </c>
      <c r="B3" s="7" t="s">
        <v>480</v>
      </c>
      <c r="C3" s="7" t="s">
        <v>31</v>
      </c>
      <c r="D3" s="7" t="s">
        <v>31</v>
      </c>
      <c r="E3" s="18" t="n">
        <v>9</v>
      </c>
      <c r="F3" s="7" t="s">
        <v>481</v>
      </c>
      <c r="G3" s="7" t="s">
        <v>22</v>
      </c>
      <c r="H3" s="7" t="s">
        <v>482</v>
      </c>
    </row>
    <row r="4" customFormat="false" ht="15" hidden="false" customHeight="false" outlineLevel="0" collapsed="false">
      <c r="A4" s="9" t="n">
        <v>2</v>
      </c>
      <c r="B4" s="9" t="s">
        <v>483</v>
      </c>
      <c r="C4" s="9" t="s">
        <v>31</v>
      </c>
      <c r="D4" s="9" t="s">
        <v>25</v>
      </c>
      <c r="E4" s="19" t="n">
        <v>6</v>
      </c>
      <c r="F4" s="9" t="s">
        <v>484</v>
      </c>
      <c r="G4" s="9" t="s">
        <v>38</v>
      </c>
      <c r="H4" s="9" t="s">
        <v>482</v>
      </c>
    </row>
    <row r="5" customFormat="false" ht="15" hidden="false" customHeight="false" outlineLevel="0" collapsed="false">
      <c r="A5" s="7" t="n">
        <v>3</v>
      </c>
      <c r="B5" s="7" t="s">
        <v>485</v>
      </c>
      <c r="C5" s="7" t="s">
        <v>25</v>
      </c>
      <c r="D5" s="7" t="s">
        <v>31</v>
      </c>
      <c r="E5" s="19" t="n">
        <v>6</v>
      </c>
      <c r="F5" s="7" t="s">
        <v>486</v>
      </c>
      <c r="G5" s="7" t="s">
        <v>28</v>
      </c>
      <c r="H5" s="7" t="s">
        <v>482</v>
      </c>
    </row>
    <row r="6" customFormat="false" ht="15" hidden="false" customHeight="false" outlineLevel="0" collapsed="false">
      <c r="A6" s="9" t="n">
        <v>4</v>
      </c>
      <c r="B6" s="9" t="s">
        <v>487</v>
      </c>
      <c r="C6" s="9" t="s">
        <v>25</v>
      </c>
      <c r="D6" s="9" t="s">
        <v>58</v>
      </c>
      <c r="E6" s="18" t="n">
        <v>8</v>
      </c>
      <c r="F6" s="9" t="s">
        <v>488</v>
      </c>
      <c r="G6" s="9" t="s">
        <v>81</v>
      </c>
      <c r="H6" s="9" t="s">
        <v>482</v>
      </c>
    </row>
    <row r="7" customFormat="false" ht="15" hidden="false" customHeight="false" outlineLevel="0" collapsed="false">
      <c r="A7" s="7" t="n">
        <v>5</v>
      </c>
      <c r="B7" s="7" t="s">
        <v>489</v>
      </c>
      <c r="C7" s="7" t="s">
        <v>25</v>
      </c>
      <c r="D7" s="7" t="s">
        <v>25</v>
      </c>
      <c r="E7" s="20" t="n">
        <v>4</v>
      </c>
      <c r="F7" s="7" t="s">
        <v>490</v>
      </c>
      <c r="G7" s="7" t="s">
        <v>22</v>
      </c>
      <c r="H7" s="7" t="s">
        <v>491</v>
      </c>
    </row>
    <row r="8" customFormat="false" ht="15" hidden="false" customHeight="false" outlineLevel="0" collapsed="false">
      <c r="A8" s="9" t="n">
        <v>6</v>
      </c>
      <c r="B8" s="9" t="s">
        <v>492</v>
      </c>
      <c r="C8" s="9" t="s">
        <v>25</v>
      </c>
      <c r="D8" s="9" t="s">
        <v>31</v>
      </c>
      <c r="E8" s="19" t="n">
        <v>6</v>
      </c>
      <c r="F8" s="9" t="s">
        <v>493</v>
      </c>
      <c r="G8" s="9" t="s">
        <v>28</v>
      </c>
      <c r="H8" s="9" t="s">
        <v>482</v>
      </c>
    </row>
    <row r="9" customFormat="false" ht="15" hidden="false" customHeight="false" outlineLevel="0" collapsed="false">
      <c r="A9" s="7" t="n">
        <v>7</v>
      </c>
      <c r="B9" s="7" t="s">
        <v>494</v>
      </c>
      <c r="C9" s="7" t="s">
        <v>31</v>
      </c>
      <c r="D9" s="7" t="s">
        <v>25</v>
      </c>
      <c r="E9" s="19" t="n">
        <v>6</v>
      </c>
      <c r="F9" s="7" t="s">
        <v>495</v>
      </c>
      <c r="G9" s="7" t="s">
        <v>38</v>
      </c>
      <c r="H9" s="7" t="s">
        <v>491</v>
      </c>
    </row>
    <row r="10" customFormat="false" ht="15" hidden="false" customHeight="false" outlineLevel="0" collapsed="false">
      <c r="A10" s="9" t="n">
        <v>8</v>
      </c>
      <c r="B10" s="9" t="s">
        <v>496</v>
      </c>
      <c r="C10" s="9" t="s">
        <v>31</v>
      </c>
      <c r="D10" s="9" t="s">
        <v>58</v>
      </c>
      <c r="E10" s="18" t="n">
        <v>9</v>
      </c>
      <c r="F10" s="9" t="s">
        <v>497</v>
      </c>
      <c r="G10" s="9" t="s">
        <v>81</v>
      </c>
      <c r="H10" s="9" t="s">
        <v>482</v>
      </c>
    </row>
    <row r="11" customFormat="false" ht="15" hidden="false" customHeight="false" outlineLevel="0" collapsed="false">
      <c r="A11" s="7" t="n">
        <v>9</v>
      </c>
      <c r="B11" s="7" t="s">
        <v>498</v>
      </c>
      <c r="C11" s="7" t="s">
        <v>25</v>
      </c>
      <c r="D11" s="7" t="s">
        <v>31</v>
      </c>
      <c r="E11" s="19" t="n">
        <v>6</v>
      </c>
      <c r="F11" s="7" t="s">
        <v>499</v>
      </c>
      <c r="G11" s="7" t="s">
        <v>28</v>
      </c>
      <c r="H11" s="7" t="s">
        <v>482</v>
      </c>
    </row>
    <row r="12" customFormat="false" ht="15" hidden="false" customHeight="false" outlineLevel="0" collapsed="false">
      <c r="A12" s="9" t="n">
        <v>10</v>
      </c>
      <c r="B12" s="9" t="s">
        <v>500</v>
      </c>
      <c r="C12" s="9" t="s">
        <v>25</v>
      </c>
      <c r="D12" s="9" t="s">
        <v>25</v>
      </c>
      <c r="E12" s="20" t="n">
        <v>4</v>
      </c>
      <c r="F12" s="9" t="s">
        <v>501</v>
      </c>
      <c r="G12" s="9" t="s">
        <v>81</v>
      </c>
      <c r="H12" s="9" t="s">
        <v>482</v>
      </c>
    </row>
    <row r="13" customFormat="false" ht="15" hidden="false" customHeight="false" outlineLevel="0" collapsed="false">
      <c r="A13" s="7" t="n">
        <v>11</v>
      </c>
      <c r="B13" s="7" t="s">
        <v>502</v>
      </c>
      <c r="C13" s="7" t="s">
        <v>51</v>
      </c>
      <c r="D13" s="7" t="s">
        <v>31</v>
      </c>
      <c r="E13" s="20" t="n">
        <v>3</v>
      </c>
      <c r="F13" s="7" t="s">
        <v>503</v>
      </c>
      <c r="G13" s="7" t="s">
        <v>22</v>
      </c>
      <c r="H13" s="7" t="s">
        <v>491</v>
      </c>
    </row>
    <row r="14" customFormat="false" ht="15" hidden="false" customHeight="false" outlineLevel="0" collapsed="false">
      <c r="A14" s="9" t="n">
        <v>12</v>
      </c>
      <c r="B14" s="9" t="s">
        <v>504</v>
      </c>
      <c r="C14" s="9" t="s">
        <v>31</v>
      </c>
      <c r="D14" s="9" t="s">
        <v>25</v>
      </c>
      <c r="E14" s="19" t="n">
        <v>6</v>
      </c>
      <c r="F14" s="9" t="s">
        <v>505</v>
      </c>
      <c r="G14" s="9" t="s">
        <v>28</v>
      </c>
      <c r="H14" s="9" t="s">
        <v>482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2026-04-30T20:38:26Z</dcterms:created>
  <dc:creator>openpyxl</dc:creator>
  <dc:description/>
  <dc:language>en-US</dc:language>
  <cp:lastModifiedBy/>
  <dcterms:modified xsi:type="dcterms:W3CDTF">2026-04-30T20:38:34Z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